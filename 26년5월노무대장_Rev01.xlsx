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작업폴더\총무\노무\26년노무대장\5월\"/>
    </mc:Choice>
  </mc:AlternateContent>
  <xr:revisionPtr revIDLastSave="0" documentId="13_ncr:1_{CC5A9E14-9B7D-453B-94EA-4A492E1A2D9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2026년5월전체" sheetId="1" r:id="rId1"/>
    <sheet name="공휴일테이블" sheetId="2" r:id="rId2"/>
    <sheet name="급여대장(월급,일용,시급)" sheetId="3" r:id="rId3"/>
    <sheet name="급여대장(사업소득자)" sheetId="4" r:id="rId4"/>
    <sheet name="급여정산 테이블" sheetId="5" r:id="rId5"/>
    <sheet name="급여명세서(월급,일용,시급)" sheetId="6" r:id="rId6"/>
    <sheet name="급여명세서(사업소득자)" sheetId="7" r:id="rId7"/>
  </sheets>
  <externalReferences>
    <externalReference r:id="rId8"/>
  </externalReferences>
  <definedNames>
    <definedName name="_xlnm.Print_Area" localSheetId="0">'2026년5월전체'!$A$1:$BI$95</definedName>
    <definedName name="_xlnm.Print_Area" localSheetId="3">'급여대장(사업소득자)'!$B$1:$P$31</definedName>
    <definedName name="_xlnm.Print_Area" localSheetId="2">'급여대장(월급,일용,시급)'!$B$1:$O$31</definedName>
    <definedName name="_xlnm.Print_Titles" localSheetId="0">'2026년5월전체'!$3:$4</definedName>
    <definedName name="_xlnm.Print_Titles" localSheetId="3">'급여대장(사업소득자)'!$3:$5</definedName>
    <definedName name="_xlnm.Print_Titles" localSheetId="2">'급여대장(월급,일용,시급)'!$3:$5</definedName>
  </definedNames>
  <calcPr calcId="191029" forceFullCalc="1"/>
</workbook>
</file>

<file path=xl/calcChain.xml><?xml version="1.0" encoding="utf-8"?>
<calcChain xmlns="http://schemas.openxmlformats.org/spreadsheetml/2006/main">
  <c r="AR92" i="1" l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AS68" i="1" l="1"/>
  <c r="BA68" i="1" s="1"/>
  <c r="AS71" i="1"/>
  <c r="BA71" i="1" s="1"/>
  <c r="AS74" i="1"/>
  <c r="BA74" i="1" s="1"/>
  <c r="AS77" i="1"/>
  <c r="BA77" i="1" s="1"/>
  <c r="AS80" i="1"/>
  <c r="BA80" i="1" s="1"/>
  <c r="AS83" i="1"/>
  <c r="BA83" i="1" s="1"/>
  <c r="AS86" i="1"/>
  <c r="BA86" i="1" s="1"/>
  <c r="AS89" i="1"/>
  <c r="BA89" i="1" s="1"/>
  <c r="AS32" i="1"/>
  <c r="BA32" i="1" s="1"/>
  <c r="BG80" i="1" l="1"/>
  <c r="BH80" i="1" s="1"/>
  <c r="BG83" i="1"/>
  <c r="BH83" i="1" s="1"/>
  <c r="BG89" i="1" l="1"/>
  <c r="BH89" i="1" s="1"/>
  <c r="BG86" i="1"/>
  <c r="BH86" i="1" s="1"/>
  <c r="BG77" i="1"/>
  <c r="BH77" i="1" s="1"/>
  <c r="BG74" i="1"/>
  <c r="BH74" i="1" s="1"/>
  <c r="BG71" i="1"/>
  <c r="BH71" i="1" s="1"/>
  <c r="N21" i="7" l="1"/>
  <c r="E21" i="7"/>
  <c r="R11" i="7"/>
  <c r="R9" i="7"/>
  <c r="R8" i="7"/>
  <c r="H8" i="7"/>
  <c r="H20" i="7" s="1"/>
  <c r="R20" i="7" s="1"/>
  <c r="L5" i="7"/>
  <c r="I5" i="7"/>
  <c r="B5" i="7"/>
  <c r="S4" i="7"/>
  <c r="L4" i="7"/>
  <c r="E4" i="7"/>
  <c r="B2" i="7"/>
  <c r="N21" i="6"/>
  <c r="E21" i="6"/>
  <c r="H17" i="6"/>
  <c r="H16" i="6"/>
  <c r="R15" i="6"/>
  <c r="H15" i="6"/>
  <c r="H14" i="6"/>
  <c r="R13" i="6"/>
  <c r="H13" i="6"/>
  <c r="R12" i="6"/>
  <c r="H12" i="6"/>
  <c r="R11" i="6"/>
  <c r="H11" i="6"/>
  <c r="R10" i="6"/>
  <c r="H10" i="6"/>
  <c r="R9" i="6"/>
  <c r="H9" i="6"/>
  <c r="R8" i="6"/>
  <c r="H8" i="6"/>
  <c r="L5" i="6"/>
  <c r="E5" i="6"/>
  <c r="S4" i="6"/>
  <c r="L4" i="6"/>
  <c r="E4" i="6"/>
  <c r="B2" i="6"/>
  <c r="J30" i="4"/>
  <c r="O29" i="4"/>
  <c r="N29" i="4"/>
  <c r="M29" i="4"/>
  <c r="L29" i="4"/>
  <c r="K29" i="4"/>
  <c r="I29" i="4"/>
  <c r="H29" i="4"/>
  <c r="G29" i="4"/>
  <c r="F29" i="4"/>
  <c r="E29" i="4"/>
  <c r="D29" i="4"/>
  <c r="C29" i="4"/>
  <c r="M28" i="4"/>
  <c r="L28" i="4"/>
  <c r="K28" i="4"/>
  <c r="I28" i="4"/>
  <c r="H28" i="4"/>
  <c r="G28" i="4"/>
  <c r="F28" i="4"/>
  <c r="E28" i="4"/>
  <c r="C28" i="4"/>
  <c r="O27" i="4"/>
  <c r="N27" i="4"/>
  <c r="M27" i="4"/>
  <c r="L27" i="4"/>
  <c r="K27" i="4"/>
  <c r="I27" i="4"/>
  <c r="H27" i="4"/>
  <c r="G27" i="4"/>
  <c r="F27" i="4"/>
  <c r="E27" i="4"/>
  <c r="D27" i="4"/>
  <c r="C27" i="4"/>
  <c r="M26" i="4"/>
  <c r="L26" i="4"/>
  <c r="K26" i="4"/>
  <c r="I26" i="4"/>
  <c r="H26" i="4"/>
  <c r="G26" i="4"/>
  <c r="F26" i="4"/>
  <c r="E26" i="4"/>
  <c r="C26" i="4"/>
  <c r="O25" i="4"/>
  <c r="N25" i="4"/>
  <c r="M25" i="4"/>
  <c r="L25" i="4"/>
  <c r="K25" i="4"/>
  <c r="I25" i="4"/>
  <c r="H25" i="4"/>
  <c r="G25" i="4"/>
  <c r="F25" i="4"/>
  <c r="E25" i="4"/>
  <c r="D25" i="4"/>
  <c r="C25" i="4"/>
  <c r="M24" i="4"/>
  <c r="L24" i="4"/>
  <c r="K24" i="4"/>
  <c r="I24" i="4"/>
  <c r="H24" i="4"/>
  <c r="G24" i="4"/>
  <c r="F24" i="4"/>
  <c r="E24" i="4"/>
  <c r="C24" i="4"/>
  <c r="O23" i="4"/>
  <c r="N23" i="4"/>
  <c r="M23" i="4"/>
  <c r="L23" i="4"/>
  <c r="K23" i="4"/>
  <c r="I23" i="4"/>
  <c r="H23" i="4"/>
  <c r="G23" i="4"/>
  <c r="F23" i="4"/>
  <c r="E23" i="4"/>
  <c r="D23" i="4"/>
  <c r="C23" i="4"/>
  <c r="M22" i="4"/>
  <c r="L22" i="4"/>
  <c r="K22" i="4"/>
  <c r="I22" i="4"/>
  <c r="H22" i="4"/>
  <c r="G22" i="4"/>
  <c r="F22" i="4"/>
  <c r="E22" i="4"/>
  <c r="C22" i="4"/>
  <c r="O21" i="4"/>
  <c r="N21" i="4"/>
  <c r="M21" i="4"/>
  <c r="L21" i="4"/>
  <c r="K21" i="4"/>
  <c r="I21" i="4"/>
  <c r="H21" i="4"/>
  <c r="G21" i="4"/>
  <c r="F21" i="4"/>
  <c r="E21" i="4"/>
  <c r="D21" i="4"/>
  <c r="C21" i="4"/>
  <c r="M20" i="4"/>
  <c r="L20" i="4"/>
  <c r="K20" i="4"/>
  <c r="I20" i="4"/>
  <c r="H20" i="4"/>
  <c r="G20" i="4"/>
  <c r="F20" i="4"/>
  <c r="E20" i="4"/>
  <c r="C20" i="4"/>
  <c r="O19" i="4"/>
  <c r="N19" i="4"/>
  <c r="M19" i="4"/>
  <c r="L19" i="4"/>
  <c r="K19" i="4"/>
  <c r="I19" i="4"/>
  <c r="H19" i="4"/>
  <c r="G19" i="4"/>
  <c r="F19" i="4"/>
  <c r="E19" i="4"/>
  <c r="D19" i="4"/>
  <c r="C19" i="4"/>
  <c r="M18" i="4"/>
  <c r="L18" i="4"/>
  <c r="K18" i="4"/>
  <c r="I18" i="4"/>
  <c r="H18" i="4"/>
  <c r="G18" i="4"/>
  <c r="F18" i="4"/>
  <c r="E18" i="4"/>
  <c r="C18" i="4"/>
  <c r="O17" i="4"/>
  <c r="N17" i="4"/>
  <c r="M17" i="4"/>
  <c r="L17" i="4"/>
  <c r="K17" i="4"/>
  <c r="I17" i="4"/>
  <c r="H17" i="4"/>
  <c r="G17" i="4"/>
  <c r="F17" i="4"/>
  <c r="E17" i="4"/>
  <c r="D17" i="4"/>
  <c r="C17" i="4"/>
  <c r="M16" i="4"/>
  <c r="L16" i="4"/>
  <c r="K16" i="4"/>
  <c r="I16" i="4"/>
  <c r="H16" i="4"/>
  <c r="G16" i="4"/>
  <c r="F16" i="4"/>
  <c r="E16" i="4"/>
  <c r="C16" i="4"/>
  <c r="O15" i="4"/>
  <c r="N15" i="4"/>
  <c r="M15" i="4"/>
  <c r="L15" i="4"/>
  <c r="K15" i="4"/>
  <c r="I15" i="4"/>
  <c r="H15" i="4"/>
  <c r="G15" i="4"/>
  <c r="F15" i="4"/>
  <c r="E15" i="4"/>
  <c r="D15" i="4"/>
  <c r="C15" i="4"/>
  <c r="M14" i="4"/>
  <c r="L14" i="4"/>
  <c r="K14" i="4"/>
  <c r="I14" i="4"/>
  <c r="H14" i="4"/>
  <c r="G14" i="4"/>
  <c r="F14" i="4"/>
  <c r="E14" i="4"/>
  <c r="C14" i="4"/>
  <c r="O13" i="4"/>
  <c r="N13" i="4"/>
  <c r="M13" i="4"/>
  <c r="L13" i="4"/>
  <c r="K13" i="4"/>
  <c r="I13" i="4"/>
  <c r="H13" i="4"/>
  <c r="G13" i="4"/>
  <c r="F13" i="4"/>
  <c r="E13" i="4"/>
  <c r="D13" i="4"/>
  <c r="C13" i="4"/>
  <c r="M12" i="4"/>
  <c r="L12" i="4"/>
  <c r="K12" i="4"/>
  <c r="I12" i="4"/>
  <c r="H12" i="4"/>
  <c r="G12" i="4"/>
  <c r="F12" i="4"/>
  <c r="E12" i="4"/>
  <c r="C12" i="4"/>
  <c r="O11" i="4"/>
  <c r="N11" i="4"/>
  <c r="M11" i="4"/>
  <c r="L11" i="4"/>
  <c r="K11" i="4"/>
  <c r="I11" i="4"/>
  <c r="H11" i="4"/>
  <c r="G11" i="4"/>
  <c r="F11" i="4"/>
  <c r="E11" i="4"/>
  <c r="D11" i="4"/>
  <c r="C11" i="4"/>
  <c r="M10" i="4"/>
  <c r="L10" i="4"/>
  <c r="K10" i="4"/>
  <c r="I10" i="4"/>
  <c r="H10" i="4"/>
  <c r="G10" i="4"/>
  <c r="F10" i="4"/>
  <c r="E10" i="4"/>
  <c r="C10" i="4"/>
  <c r="O9" i="4"/>
  <c r="N9" i="4"/>
  <c r="M9" i="4"/>
  <c r="L9" i="4"/>
  <c r="K9" i="4"/>
  <c r="I9" i="4"/>
  <c r="H9" i="4"/>
  <c r="G9" i="4"/>
  <c r="F9" i="4"/>
  <c r="E9" i="4"/>
  <c r="D9" i="4"/>
  <c r="C9" i="4"/>
  <c r="M8" i="4"/>
  <c r="L8" i="4"/>
  <c r="K8" i="4"/>
  <c r="I8" i="4"/>
  <c r="H8" i="4"/>
  <c r="G8" i="4"/>
  <c r="F8" i="4"/>
  <c r="E8" i="4"/>
  <c r="C8" i="4"/>
  <c r="O7" i="4"/>
  <c r="N7" i="4"/>
  <c r="M7" i="4"/>
  <c r="L7" i="4"/>
  <c r="K7" i="4"/>
  <c r="I7" i="4"/>
  <c r="H7" i="4"/>
  <c r="G7" i="4"/>
  <c r="F7" i="4"/>
  <c r="E7" i="4"/>
  <c r="D7" i="4"/>
  <c r="C7" i="4"/>
  <c r="M6" i="4"/>
  <c r="L6" i="4"/>
  <c r="K6" i="4"/>
  <c r="I6" i="4"/>
  <c r="H6" i="4"/>
  <c r="G6" i="4"/>
  <c r="F6" i="4"/>
  <c r="E6" i="4"/>
  <c r="C6" i="4"/>
  <c r="N2" i="4"/>
  <c r="D2" i="4"/>
  <c r="B1" i="4"/>
  <c r="N23" i="3"/>
  <c r="M23" i="3"/>
  <c r="L23" i="3"/>
  <c r="K23" i="3"/>
  <c r="J23" i="3"/>
  <c r="H23" i="3"/>
  <c r="G23" i="3"/>
  <c r="F23" i="3"/>
  <c r="E23" i="3"/>
  <c r="D23" i="3"/>
  <c r="C23" i="3"/>
  <c r="L22" i="3"/>
  <c r="K22" i="3"/>
  <c r="J22" i="3"/>
  <c r="I22" i="3"/>
  <c r="H22" i="3"/>
  <c r="G22" i="3"/>
  <c r="F22" i="3"/>
  <c r="E22" i="3"/>
  <c r="C22" i="3"/>
  <c r="N21" i="3"/>
  <c r="M21" i="3"/>
  <c r="L21" i="3"/>
  <c r="K21" i="3"/>
  <c r="J21" i="3"/>
  <c r="H21" i="3"/>
  <c r="G21" i="3"/>
  <c r="F21" i="3"/>
  <c r="E21" i="3"/>
  <c r="D21" i="3"/>
  <c r="C21" i="3"/>
  <c r="L20" i="3"/>
  <c r="K20" i="3"/>
  <c r="J20" i="3"/>
  <c r="I20" i="3"/>
  <c r="H20" i="3"/>
  <c r="G20" i="3"/>
  <c r="F20" i="3"/>
  <c r="E20" i="3"/>
  <c r="C20" i="3"/>
  <c r="N19" i="3"/>
  <c r="M19" i="3"/>
  <c r="L19" i="3"/>
  <c r="K19" i="3"/>
  <c r="J19" i="3"/>
  <c r="H19" i="3"/>
  <c r="G19" i="3"/>
  <c r="F19" i="3"/>
  <c r="E19" i="3"/>
  <c r="D19" i="3"/>
  <c r="C19" i="3"/>
  <c r="L18" i="3"/>
  <c r="K18" i="3"/>
  <c r="J18" i="3"/>
  <c r="I18" i="3"/>
  <c r="H18" i="3"/>
  <c r="G18" i="3"/>
  <c r="F18" i="3"/>
  <c r="E18" i="3"/>
  <c r="C18" i="3"/>
  <c r="N17" i="3"/>
  <c r="M17" i="3"/>
  <c r="L17" i="3"/>
  <c r="K17" i="3"/>
  <c r="J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C16" i="3"/>
  <c r="N15" i="3"/>
  <c r="M15" i="3"/>
  <c r="L15" i="3"/>
  <c r="K15" i="3"/>
  <c r="J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C14" i="3"/>
  <c r="N13" i="3"/>
  <c r="M13" i="3"/>
  <c r="L13" i="3"/>
  <c r="K13" i="3"/>
  <c r="J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C12" i="3"/>
  <c r="N11" i="3"/>
  <c r="M11" i="3"/>
  <c r="L11" i="3"/>
  <c r="K11" i="3"/>
  <c r="J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C6" i="3"/>
  <c r="M2" i="3"/>
  <c r="D2" i="3"/>
  <c r="B1" i="3"/>
  <c r="AT65" i="1"/>
  <c r="AS65" i="1"/>
  <c r="AT62" i="1"/>
  <c r="AS62" i="1"/>
  <c r="AT59" i="1"/>
  <c r="AS59" i="1"/>
  <c r="AT56" i="1"/>
  <c r="AS56" i="1"/>
  <c r="AT53" i="1"/>
  <c r="AS53" i="1"/>
  <c r="AT50" i="1"/>
  <c r="AS50" i="1"/>
  <c r="AT47" i="1"/>
  <c r="AS47" i="1"/>
  <c r="AT44" i="1"/>
  <c r="AS44" i="1"/>
  <c r="AT41" i="1"/>
  <c r="AS41" i="1"/>
  <c r="AT38" i="1"/>
  <c r="AS38" i="1"/>
  <c r="AT35" i="1"/>
  <c r="AS35" i="1"/>
  <c r="O6" i="4"/>
  <c r="AT32" i="1"/>
  <c r="D6" i="4"/>
  <c r="BA29" i="1"/>
  <c r="N22" i="3" s="1"/>
  <c r="AT29" i="1"/>
  <c r="AS29" i="1"/>
  <c r="D22" i="3" s="1"/>
  <c r="BA26" i="1"/>
  <c r="AT26" i="1"/>
  <c r="AS26" i="1"/>
  <c r="D20" i="3" s="1"/>
  <c r="BA23" i="1"/>
  <c r="N18" i="3" s="1"/>
  <c r="AT23" i="1"/>
  <c r="AS23" i="1"/>
  <c r="D18" i="3" s="1"/>
  <c r="BA20" i="1"/>
  <c r="M16" i="3" s="1"/>
  <c r="AT20" i="1"/>
  <c r="AS20" i="1"/>
  <c r="D16" i="3" s="1"/>
  <c r="BA17" i="1"/>
  <c r="AT17" i="1"/>
  <c r="AS17" i="1"/>
  <c r="D14" i="3" s="1"/>
  <c r="BG14" i="1"/>
  <c r="BA14" i="1"/>
  <c r="AT14" i="1"/>
  <c r="AS14" i="1"/>
  <c r="D12" i="3" s="1"/>
  <c r="BG12" i="1"/>
  <c r="BA12" i="1"/>
  <c r="AU12" i="1" s="1"/>
  <c r="AT12" i="1"/>
  <c r="AS12" i="1"/>
  <c r="BG10" i="1"/>
  <c r="BA10" i="1"/>
  <c r="AU10" i="1" s="1"/>
  <c r="AT10" i="1"/>
  <c r="AS10" i="1"/>
  <c r="BG7" i="1"/>
  <c r="BA7" i="1"/>
  <c r="AT7" i="1"/>
  <c r="AS7" i="1"/>
  <c r="A7" i="1"/>
  <c r="A10" i="1" s="1"/>
  <c r="A12" i="1" s="1"/>
  <c r="A14" i="1" s="1"/>
  <c r="A17" i="1" s="1"/>
  <c r="A20" i="1" s="1"/>
  <c r="A23" i="1" s="1"/>
  <c r="A26" i="1" s="1"/>
  <c r="A29" i="1" s="1"/>
  <c r="A32" i="1" s="1"/>
  <c r="A35" i="1" s="1"/>
  <c r="A38" i="1" s="1"/>
  <c r="A41" i="1" s="1"/>
  <c r="A44" i="1" s="1"/>
  <c r="A47" i="1" s="1"/>
  <c r="A50" i="1" s="1"/>
  <c r="A53" i="1" s="1"/>
  <c r="A56" i="1" s="1"/>
  <c r="A59" i="1" s="1"/>
  <c r="A62" i="1" s="1"/>
  <c r="BG5" i="1"/>
  <c r="BA5" i="1"/>
  <c r="AT5" i="1"/>
  <c r="AS5" i="1"/>
  <c r="N3" i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N2" i="1"/>
  <c r="K1" i="1"/>
  <c r="K2" i="1" s="1"/>
  <c r="AU7" i="1" l="1"/>
  <c r="D28" i="4"/>
  <c r="BA65" i="1"/>
  <c r="O28" i="4" s="1"/>
  <c r="D20" i="4"/>
  <c r="BA53" i="1"/>
  <c r="D10" i="4"/>
  <c r="BA38" i="1"/>
  <c r="N10" i="4" s="1"/>
  <c r="D12" i="4"/>
  <c r="BA41" i="1"/>
  <c r="O12" i="4" s="1"/>
  <c r="D22" i="4"/>
  <c r="BA56" i="1"/>
  <c r="O22" i="4" s="1"/>
  <c r="D14" i="4"/>
  <c r="BA44" i="1"/>
  <c r="O14" i="4" s="1"/>
  <c r="D24" i="4"/>
  <c r="BA59" i="1"/>
  <c r="D16" i="4"/>
  <c r="BA47" i="1"/>
  <c r="O16" i="4" s="1"/>
  <c r="D8" i="4"/>
  <c r="BA35" i="1"/>
  <c r="D26" i="4"/>
  <c r="BA62" i="1"/>
  <c r="D18" i="4"/>
  <c r="BA50" i="1"/>
  <c r="O18" i="4" s="1"/>
  <c r="J27" i="4"/>
  <c r="G31" i="4"/>
  <c r="N16" i="3"/>
  <c r="O16" i="3" s="1"/>
  <c r="BH7" i="1"/>
  <c r="R10" i="7"/>
  <c r="R12" i="7" s="1"/>
  <c r="O6" i="3"/>
  <c r="O8" i="3"/>
  <c r="I15" i="3"/>
  <c r="M22" i="3"/>
  <c r="O22" i="3" s="1"/>
  <c r="E31" i="4"/>
  <c r="BH12" i="1"/>
  <c r="J23" i="4"/>
  <c r="I23" i="3"/>
  <c r="L31" i="3"/>
  <c r="J31" i="3"/>
  <c r="K31" i="3"/>
  <c r="K30" i="3"/>
  <c r="J7" i="4"/>
  <c r="J17" i="4"/>
  <c r="BH14" i="1"/>
  <c r="F30" i="4"/>
  <c r="H31" i="4"/>
  <c r="J15" i="4"/>
  <c r="G30" i="4"/>
  <c r="J9" i="4"/>
  <c r="M18" i="3"/>
  <c r="O18" i="3" s="1"/>
  <c r="N28" i="4"/>
  <c r="I13" i="3"/>
  <c r="I21" i="3"/>
  <c r="H30" i="4"/>
  <c r="J25" i="4"/>
  <c r="I30" i="4"/>
  <c r="L31" i="4"/>
  <c r="J13" i="4"/>
  <c r="BH10" i="1"/>
  <c r="I9" i="3"/>
  <c r="K30" i="4"/>
  <c r="M31" i="4"/>
  <c r="J21" i="4"/>
  <c r="H19" i="6"/>
  <c r="H20" i="6" s="1"/>
  <c r="L30" i="4"/>
  <c r="N31" i="4"/>
  <c r="BH5" i="1"/>
  <c r="BG68" i="1"/>
  <c r="BH68" i="1" s="1"/>
  <c r="F31" i="3"/>
  <c r="M30" i="4"/>
  <c r="J11" i="4"/>
  <c r="K31" i="4"/>
  <c r="G30" i="3"/>
  <c r="G31" i="3"/>
  <c r="I30" i="3"/>
  <c r="I11" i="3"/>
  <c r="J19" i="4"/>
  <c r="J29" i="4"/>
  <c r="H30" i="3"/>
  <c r="H31" i="3"/>
  <c r="A68" i="1"/>
  <c r="A74" i="1" s="1"/>
  <c r="A80" i="1" s="1"/>
  <c r="A86" i="1" s="1"/>
  <c r="A65" i="1"/>
  <c r="A71" i="1" s="1"/>
  <c r="A77" i="1" s="1"/>
  <c r="A83" i="1" s="1"/>
  <c r="A89" i="1" s="1"/>
  <c r="N24" i="4"/>
  <c r="I7" i="3"/>
  <c r="E31" i="3"/>
  <c r="I31" i="4"/>
  <c r="F30" i="3"/>
  <c r="I19" i="3"/>
  <c r="O12" i="3"/>
  <c r="J30" i="3"/>
  <c r="L30" i="3"/>
  <c r="M31" i="3"/>
  <c r="I17" i="3"/>
  <c r="O10" i="3"/>
  <c r="F31" i="4"/>
  <c r="E30" i="4"/>
  <c r="E30" i="3"/>
  <c r="O20" i="4"/>
  <c r="N14" i="3"/>
  <c r="P28" i="4" l="1"/>
  <c r="O8" i="4"/>
  <c r="N16" i="4"/>
  <c r="P16" i="4" s="1"/>
  <c r="P17" i="4" s="1"/>
  <c r="O10" i="4"/>
  <c r="P10" i="4" s="1"/>
  <c r="O26" i="4"/>
  <c r="N22" i="4"/>
  <c r="P22" i="4" s="1"/>
  <c r="P23" i="4" s="1"/>
  <c r="BA92" i="1"/>
  <c r="BG41" i="1"/>
  <c r="BH41" i="1" s="1"/>
  <c r="BG50" i="1"/>
  <c r="BH50" i="1" s="1"/>
  <c r="BG44" i="1"/>
  <c r="BH44" i="1" s="1"/>
  <c r="O24" i="4"/>
  <c r="P24" i="4" s="1"/>
  <c r="P25" i="4" s="1"/>
  <c r="BG20" i="1"/>
  <c r="BH20" i="1" s="1"/>
  <c r="O9" i="3"/>
  <c r="O11" i="3"/>
  <c r="N6" i="4"/>
  <c r="P6" i="4" s="1"/>
  <c r="P7" i="4" s="1"/>
  <c r="BG32" i="1"/>
  <c r="BH32" i="1" s="1"/>
  <c r="O23" i="3"/>
  <c r="O17" i="3"/>
  <c r="BG29" i="1"/>
  <c r="BH29" i="1" s="1"/>
  <c r="P11" i="4"/>
  <c r="BG38" i="1"/>
  <c r="BH38" i="1" s="1"/>
  <c r="J31" i="4"/>
  <c r="BG23" i="1"/>
  <c r="BH23" i="1" s="1"/>
  <c r="P29" i="4"/>
  <c r="BG65" i="1"/>
  <c r="BH65" i="1" s="1"/>
  <c r="O13" i="3"/>
  <c r="BG47" i="1"/>
  <c r="BH47" i="1" s="1"/>
  <c r="BG26" i="1"/>
  <c r="BH26" i="1" s="1"/>
  <c r="M20" i="3"/>
  <c r="R14" i="6"/>
  <c r="R19" i="7"/>
  <c r="BG35" i="1"/>
  <c r="BH35" i="1" s="1"/>
  <c r="N8" i="4"/>
  <c r="P8" i="4" s="1"/>
  <c r="P9" i="4" s="1"/>
  <c r="BG17" i="1"/>
  <c r="BH17" i="1" s="1"/>
  <c r="M14" i="3"/>
  <c r="O19" i="3"/>
  <c r="O7" i="3"/>
  <c r="I31" i="3"/>
  <c r="R16" i="6"/>
  <c r="N20" i="3"/>
  <c r="BG53" i="1"/>
  <c r="BH53" i="1" s="1"/>
  <c r="N20" i="4"/>
  <c r="P20" i="4" s="1"/>
  <c r="P21" i="4" s="1"/>
  <c r="N26" i="4"/>
  <c r="N14" i="4" l="1"/>
  <c r="P14" i="4" s="1"/>
  <c r="P15" i="4" s="1"/>
  <c r="N18" i="4"/>
  <c r="P18" i="4" s="1"/>
  <c r="P19" i="4" s="1"/>
  <c r="P26" i="4"/>
  <c r="P27" i="4" s="1"/>
  <c r="BG62" i="1"/>
  <c r="BH62" i="1" s="1"/>
  <c r="BG56" i="1"/>
  <c r="BH56" i="1" s="1"/>
  <c r="BG59" i="1"/>
  <c r="BH59" i="1" s="1"/>
  <c r="N12" i="4"/>
  <c r="P12" i="4" s="1"/>
  <c r="P13" i="4" s="1"/>
  <c r="R19" i="6"/>
  <c r="R20" i="6" s="1"/>
  <c r="O20" i="3"/>
  <c r="O21" i="3" s="1"/>
  <c r="O14" i="3"/>
  <c r="O15" i="3" s="1"/>
  <c r="M30" i="3"/>
  <c r="O30" i="3" s="1"/>
  <c r="O31" i="3" s="1"/>
  <c r="N30" i="4" l="1"/>
  <c r="P30" i="4" s="1"/>
  <c r="P31" i="4" s="1"/>
</calcChain>
</file>

<file path=xl/sharedStrings.xml><?xml version="1.0" encoding="utf-8"?>
<sst xmlns="http://schemas.openxmlformats.org/spreadsheetml/2006/main" count="509" uniqueCount="257">
  <si>
    <t>노무대장</t>
  </si>
  <si>
    <t>▣ 씨엠(CM)건설</t>
  </si>
  <si>
    <t>지  급  내  역</t>
  </si>
  <si>
    <t>공 제 내 역</t>
  </si>
  <si>
    <t>실지급액</t>
  </si>
  <si>
    <t>비고</t>
  </si>
  <si>
    <t>NO</t>
  </si>
  <si>
    <t>사 번</t>
  </si>
  <si>
    <t>이름</t>
  </si>
  <si>
    <t>고용
형태</t>
  </si>
  <si>
    <t>주민등록번호</t>
  </si>
  <si>
    <t>입사입</t>
  </si>
  <si>
    <t>퇴사일</t>
  </si>
  <si>
    <t>계좌번호</t>
  </si>
  <si>
    <t>연락처</t>
  </si>
  <si>
    <t>주    소</t>
  </si>
  <si>
    <t>직무</t>
  </si>
  <si>
    <t>구분</t>
  </si>
  <si>
    <t>일수</t>
  </si>
  <si>
    <t>형태</t>
  </si>
  <si>
    <t>단가</t>
  </si>
  <si>
    <t>기본급</t>
  </si>
  <si>
    <t>식대</t>
  </si>
  <si>
    <t>자가운전</t>
  </si>
  <si>
    <t>통신비</t>
  </si>
  <si>
    <t>직책수당</t>
  </si>
  <si>
    <t>합 계</t>
  </si>
  <si>
    <t>국민연금</t>
  </si>
  <si>
    <t>건강보험</t>
  </si>
  <si>
    <t>장기요양보험</t>
  </si>
  <si>
    <t>숙소료</t>
  </si>
  <si>
    <t>기타</t>
  </si>
  <si>
    <t>합계</t>
  </si>
  <si>
    <t>연장수당</t>
  </si>
  <si>
    <t>휴일수당</t>
  </si>
  <si>
    <t>휴일연장</t>
  </si>
  <si>
    <t>심야수당</t>
  </si>
  <si>
    <t>고용보험</t>
  </si>
  <si>
    <t>소득세</t>
  </si>
  <si>
    <t>지방소득세</t>
  </si>
  <si>
    <t>가불</t>
  </si>
  <si>
    <t>CM001</t>
  </si>
  <si>
    <t>문현준</t>
  </si>
  <si>
    <t>대표</t>
  </si>
  <si>
    <t>711111-1668118</t>
  </si>
  <si>
    <t>하나
518910657 09607</t>
  </si>
  <si>
    <t>010-5914-9246</t>
  </si>
  <si>
    <t>경북 경주 안강읍 피일길 86-17,
202동 505호(한동화성타운)</t>
  </si>
  <si>
    <t>관리</t>
  </si>
  <si>
    <t>출근</t>
  </si>
  <si>
    <t>퇴근</t>
  </si>
  <si>
    <t>CM002</t>
  </si>
  <si>
    <t>월급</t>
  </si>
  <si>
    <t>700110-1452435</t>
  </si>
  <si>
    <t>국민
405-21-0147-271</t>
  </si>
  <si>
    <t>010-3421-2615</t>
  </si>
  <si>
    <t>서울 영등포구 도림로 313
건영 가동 708호</t>
  </si>
  <si>
    <t>CM003</t>
  </si>
  <si>
    <t>박정선</t>
  </si>
  <si>
    <t>740205-2565919</t>
  </si>
  <si>
    <t>우체국
700591-02-214400</t>
  </si>
  <si>
    <t>010-5288-9246</t>
  </si>
  <si>
    <t>경북 경주시 안강읍 피일길 86-17, 203동 4층 402호</t>
  </si>
  <si>
    <t>CM004</t>
  </si>
  <si>
    <t>문지수</t>
  </si>
  <si>
    <t>040713-4785410</t>
  </si>
  <si>
    <t>신한
110-582-433226</t>
  </si>
  <si>
    <t>010-5344-9246</t>
  </si>
  <si>
    <t>CM005</t>
  </si>
  <si>
    <t>일용</t>
  </si>
  <si>
    <t>720313-1473617</t>
  </si>
  <si>
    <t>농협
217030-56-032198</t>
  </si>
  <si>
    <t>010-5536-1383</t>
  </si>
  <si>
    <t>충남 당진시 순성면 순성로 454,
2동 104호(세안근로자복지아파트)</t>
  </si>
  <si>
    <t>용접</t>
  </si>
  <si>
    <t>CM006</t>
  </si>
  <si>
    <t>931126-5760165</t>
  </si>
  <si>
    <t>하나
346-910639-35707</t>
  </si>
  <si>
    <t>010-7514-9555</t>
  </si>
  <si>
    <t>당진시 신평면 거산리 세정길 29-5 거산타운 다동 302호</t>
  </si>
  <si>
    <t>절단</t>
  </si>
  <si>
    <t>CM007</t>
  </si>
  <si>
    <t>시급</t>
  </si>
  <si>
    <t>970709-5760227</t>
  </si>
  <si>
    <t>010-6443-7067</t>
  </si>
  <si>
    <t>당진시 신평면 세정길 29-7,202호</t>
  </si>
  <si>
    <t>사상</t>
  </si>
  <si>
    <t>CM008</t>
  </si>
  <si>
    <t>040119-7340017</t>
  </si>
  <si>
    <t>010-8466-5239</t>
  </si>
  <si>
    <t>당진시 신평면 세정길 29-5, 302호</t>
  </si>
  <si>
    <t>CM009</t>
  </si>
  <si>
    <t>900408-5180040</t>
  </si>
  <si>
    <t>010-8059-2651</t>
  </si>
  <si>
    <t>당진시 신평면 세정길 29-7,나동 404호</t>
  </si>
  <si>
    <t>마감</t>
  </si>
  <si>
    <t>CM010</t>
  </si>
  <si>
    <t>900425-5200546</t>
  </si>
  <si>
    <t>010-2982-6688</t>
  </si>
  <si>
    <t>취부</t>
  </si>
  <si>
    <t>CM011</t>
  </si>
  <si>
    <t>사업
소득</t>
  </si>
  <si>
    <t>730512-5800194</t>
  </si>
  <si>
    <t>농협
351-0837-1428-13</t>
  </si>
  <si>
    <t>010-8227-3888</t>
  </si>
  <si>
    <t>CM012</t>
  </si>
  <si>
    <t>PN : C6975015</t>
  </si>
  <si>
    <t>하나
010-974229-82907</t>
  </si>
  <si>
    <t>010-5850-6888</t>
  </si>
  <si>
    <t>CM013</t>
  </si>
  <si>
    <t>농협
356-0381-9126-83</t>
  </si>
  <si>
    <t>010-8543-6645</t>
  </si>
  <si>
    <t>경상남도 칠곡군 왜관읍 석진로
77,101동 209호(한빛타운)</t>
  </si>
  <si>
    <t>CM014</t>
  </si>
  <si>
    <t>730420-1533815</t>
  </si>
  <si>
    <t>기업
010-3677-7304</t>
  </si>
  <si>
    <t>010-3677-7304</t>
  </si>
  <si>
    <t>전북 완주군 상관면 신리로 99, 108동 1402호 신세대지큐빌</t>
  </si>
  <si>
    <t>제관</t>
  </si>
  <si>
    <t>CM015</t>
  </si>
  <si>
    <t>781202-1657625</t>
  </si>
  <si>
    <t>농축협
641043-51-100620</t>
  </si>
  <si>
    <t>010-2059-7268</t>
  </si>
  <si>
    <t>광주광역시 남구 도시첨단산업로
58, 101동 6층 602호</t>
  </si>
  <si>
    <t>CM016</t>
  </si>
  <si>
    <t>800504-6760695</t>
  </si>
  <si>
    <t>농협
302-0351-0843-41</t>
  </si>
  <si>
    <t>010-2818-5880
010-2700-9334</t>
  </si>
  <si>
    <t>CM017</t>
  </si>
  <si>
    <t>600428-6960019</t>
  </si>
  <si>
    <t>농협
302-9652-1010-71</t>
  </si>
  <si>
    <t>010-7503-8266</t>
  </si>
  <si>
    <t>충남 당진시 합덕읍 
덕역말길 51-6</t>
  </si>
  <si>
    <t>CM018</t>
  </si>
  <si>
    <t>711225-5103793</t>
  </si>
  <si>
    <t>농협
351-0469-5624-53</t>
  </si>
  <si>
    <t>010-8398-6880</t>
  </si>
  <si>
    <t>충남 당진시 순성면 순성로 454,
7동 304호(세안근로자복지아파트)</t>
  </si>
  <si>
    <t>CM019</t>
  </si>
  <si>
    <t>660326-5760029</t>
  </si>
  <si>
    <t>하나
523910323-21507</t>
  </si>
  <si>
    <t>010-5834-8839</t>
  </si>
  <si>
    <t>대전 유성구 유성대로 654번길 
25 다온빌 201호</t>
  </si>
  <si>
    <t>CM020</t>
  </si>
  <si>
    <t>790319-1466816</t>
  </si>
  <si>
    <t>우리
1002-744-975-123</t>
  </si>
  <si>
    <t>010-7435-9877</t>
  </si>
  <si>
    <t>충남 홍성군 장곡면 장곡길 516</t>
  </si>
  <si>
    <t>CM021</t>
  </si>
  <si>
    <t>710401-6140893</t>
  </si>
  <si>
    <t>농협
352-2136-0682-93</t>
  </si>
  <si>
    <t>010-3824-3404</t>
  </si>
  <si>
    <t>CM022</t>
  </si>
  <si>
    <t>농협
352-2376-6237-73</t>
  </si>
  <si>
    <t>010-6568-8671</t>
  </si>
  <si>
    <t>충남 당진시 신평면 거산3거리길
88, 102동 402호(공간아파트)</t>
  </si>
  <si>
    <t>평일</t>
  </si>
  <si>
    <t>심야</t>
  </si>
  <si>
    <t>계</t>
  </si>
  <si>
    <t>날짜</t>
  </si>
  <si>
    <t>공휴일명</t>
  </si>
  <si>
    <t>신정</t>
  </si>
  <si>
    <t>삼일절</t>
  </si>
  <si>
    <t>근로자의날</t>
  </si>
  <si>
    <t>어린이날</t>
  </si>
  <si>
    <t>현충일</t>
  </si>
  <si>
    <t>광복절</t>
  </si>
  <si>
    <t>개천절</t>
  </si>
  <si>
    <t>한글날</t>
  </si>
  <si>
    <t>성탄절</t>
  </si>
  <si>
    <t xml:space="preserve">급 여 산 정 기 간 : </t>
  </si>
  <si>
    <t>지 급 일 :</t>
  </si>
  <si>
    <t>순번</t>
  </si>
  <si>
    <t>인적사항</t>
  </si>
  <si>
    <t>공수</t>
  </si>
  <si>
    <t>기  본  급  여  및  제  수  당</t>
  </si>
  <si>
    <t>제  공  제  및  월  수  령  액</t>
  </si>
  <si>
    <t>성     명</t>
  </si>
  <si>
    <t>가  불</t>
  </si>
  <si>
    <t>공제총액</t>
  </si>
  <si>
    <t>입 사 일</t>
  </si>
  <si>
    <t>성과금</t>
  </si>
  <si>
    <t>지급총액</t>
  </si>
  <si>
    <t>소 득 세</t>
  </si>
  <si>
    <t>주 민 세</t>
  </si>
  <si>
    <t>건강보험정산</t>
  </si>
  <si>
    <t>월수령액</t>
  </si>
  <si>
    <t>월급/시급 급여 정산 테이블</t>
  </si>
  <si>
    <t>잔업 구분</t>
  </si>
  <si>
    <t>일용/사업소득 정산 테이블</t>
  </si>
  <si>
    <t>시간</t>
  </si>
  <si>
    <t>일당</t>
  </si>
  <si>
    <t>토요일/공휴일</t>
  </si>
  <si>
    <t>일요일</t>
  </si>
  <si>
    <t>사원코드 :</t>
  </si>
  <si>
    <t>이       름 :</t>
  </si>
  <si>
    <t>입  사  일 :</t>
  </si>
  <si>
    <t>부      서 :</t>
  </si>
  <si>
    <t>직       급 :</t>
  </si>
  <si>
    <t>지  급  일 :</t>
  </si>
  <si>
    <t>공  제  내  역</t>
  </si>
  <si>
    <t>내   역</t>
  </si>
  <si>
    <t>금   액</t>
  </si>
  <si>
    <t>식   대</t>
  </si>
  <si>
    <t>자운전보조비</t>
  </si>
  <si>
    <t>휴일연장수당</t>
  </si>
  <si>
    <t>가 불 금</t>
  </si>
  <si>
    <t>공제액계</t>
  </si>
  <si>
    <t>지급액계</t>
  </si>
  <si>
    <t xml:space="preserve">예 금 주 : </t>
  </si>
  <si>
    <t>계좌번호 :</t>
  </si>
  <si>
    <t>귀하의 노고에 감사드립니다.</t>
  </si>
  <si>
    <t>씨엠(CM)건설</t>
  </si>
  <si>
    <t>계  약  일 :</t>
  </si>
  <si>
    <t>계약금액</t>
  </si>
  <si>
    <t>상기 금액에는 주휴수당,연차수당 포함</t>
  </si>
  <si>
    <t>연장</t>
    <phoneticPr fontId="25" type="noConversion"/>
  </si>
  <si>
    <t>휴일</t>
    <phoneticPr fontId="25" type="noConversion"/>
  </si>
  <si>
    <t>점심시간</t>
    <phoneticPr fontId="25" type="noConversion"/>
  </si>
  <si>
    <t>영문이름</t>
    <phoneticPr fontId="25" type="noConversion"/>
  </si>
  <si>
    <r>
      <rPr>
        <sz val="11"/>
        <rFont val="맑은 고딕"/>
        <family val="3"/>
        <charset val="129"/>
      </rPr>
      <t>다오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티엔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키우</t>
    </r>
    <phoneticPr fontId="25" type="noConversion"/>
  </si>
  <si>
    <t>DAO TIEN KIEU</t>
    <phoneticPr fontId="25" type="noConversion"/>
  </si>
  <si>
    <r>
      <rPr>
        <sz val="11"/>
        <rFont val="맑은 고딕"/>
        <family val="3"/>
        <charset val="129"/>
      </rPr>
      <t>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팍</t>
    </r>
    <phoneticPr fontId="25" type="noConversion"/>
  </si>
  <si>
    <t>RIN PHAK</t>
    <phoneticPr fontId="25" type="noConversion"/>
  </si>
  <si>
    <r>
      <rPr>
        <sz val="11"/>
        <rFont val="맑은 고딕"/>
        <family val="3"/>
        <charset val="129"/>
      </rPr>
      <t>트란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추언</t>
    </r>
    <phoneticPr fontId="25" type="noConversion"/>
  </si>
  <si>
    <t>TRAN NGOC CHUAN</t>
    <phoneticPr fontId="25" type="noConversion"/>
  </si>
  <si>
    <t>황피선</t>
    <phoneticPr fontId="25" type="noConversion"/>
  </si>
  <si>
    <t>HOANG PHI SON</t>
    <phoneticPr fontId="25" type="noConversion"/>
  </si>
  <si>
    <t>이학철</t>
    <phoneticPr fontId="25" type="noConversion"/>
  </si>
  <si>
    <t>LI XUEZHE</t>
    <phoneticPr fontId="25" type="noConversion"/>
  </si>
  <si>
    <t>양명상</t>
    <phoneticPr fontId="25" type="noConversion"/>
  </si>
  <si>
    <t>반빈</t>
    <phoneticPr fontId="25" type="noConversion"/>
  </si>
  <si>
    <t>이미옥</t>
    <phoneticPr fontId="25" type="noConversion"/>
  </si>
  <si>
    <t>오홍</t>
    <phoneticPr fontId="25" type="noConversion"/>
  </si>
  <si>
    <t>장백양</t>
    <phoneticPr fontId="25" type="noConversion"/>
  </si>
  <si>
    <t>김성산</t>
    <phoneticPr fontId="25" type="noConversion"/>
  </si>
  <si>
    <t>JIN CHENGSHAN</t>
    <phoneticPr fontId="25" type="noConversion"/>
  </si>
  <si>
    <t>서승길</t>
    <phoneticPr fontId="25" type="noConversion"/>
  </si>
  <si>
    <t>XU CHENGJI</t>
    <phoneticPr fontId="25" type="noConversion"/>
  </si>
  <si>
    <t>호반동</t>
    <phoneticPr fontId="25" type="noConversion"/>
  </si>
  <si>
    <t>HO VAN DONG</t>
    <phoneticPr fontId="25" type="noConversion"/>
  </si>
  <si>
    <t>공수</t>
    <phoneticPr fontId="25" type="noConversion"/>
  </si>
  <si>
    <t>조귀선</t>
    <phoneticPr fontId="25" type="noConversion"/>
  </si>
  <si>
    <t>이재훈</t>
    <phoneticPr fontId="25" type="noConversion"/>
  </si>
  <si>
    <t>장기문</t>
    <phoneticPr fontId="25" type="noConversion"/>
  </si>
  <si>
    <t>오제국</t>
    <phoneticPr fontId="25" type="noConversion"/>
  </si>
  <si>
    <t>이미선</t>
    <phoneticPr fontId="25" type="noConversion"/>
  </si>
  <si>
    <t>김인진</t>
    <phoneticPr fontId="25" type="noConversion"/>
  </si>
  <si>
    <t>출 근 인 원</t>
    <phoneticPr fontId="25" type="noConversion"/>
  </si>
  <si>
    <t>인원</t>
    <phoneticPr fontId="25" type="noConversion"/>
  </si>
  <si>
    <t>따이</t>
    <phoneticPr fontId="25" type="noConversion"/>
  </si>
  <si>
    <t>WEN FENGJI</t>
    <phoneticPr fontId="25" type="noConversion"/>
  </si>
  <si>
    <t>원평지</t>
    <phoneticPr fontId="25" type="noConversion"/>
  </si>
  <si>
    <t>대표</t>
    <phoneticPr fontId="25" type="noConversion"/>
  </si>
  <si>
    <t>정찬영</t>
    <phoneticPr fontId="25" type="noConversion"/>
  </si>
  <si>
    <t>891212-5300316</t>
    <phoneticPr fontId="25" type="noConversion"/>
  </si>
  <si>
    <t>610304-1030512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</si>
</sst>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00000\-0000000"/>
    <numFmt numFmtId="177" formatCode="#,##0_ ;[Red]\-#,##0\ "/>
    <numFmt numFmtId="178" formatCode="_-* #,##0_-;\-* #,##0_-;_-* \-_-;_-@_-"/>
    <numFmt numFmtId="179" formatCode="0&quot;년&quot;"/>
    <numFmt numFmtId="180" formatCode="0&quot;월&quot;"/>
    <numFmt numFmtId="181" formatCode="d"/>
    <numFmt numFmtId="182" formatCode="yyyy/mm/dd;@"/>
    <numFmt numFmtId="183" formatCode="h:mm;@"/>
    <numFmt numFmtId="184" formatCode="_-* #,##0.0_-;\-* #,##0.0_-;_-* \-_-;_-@_-"/>
    <numFmt numFmtId="185" formatCode="_-* #,##0.0_-;\-* #,##0.0_-;_-* \-?_-;_-@_-"/>
    <numFmt numFmtId="186" formatCode="yyyy\/m\/d;@"/>
    <numFmt numFmtId="187" formatCode="yyyy\-mm\-dd"/>
    <numFmt numFmtId="188" formatCode="yyyy&quot;년 &quot;m&quot;월 &quot;d&quot;일&quot;;@"/>
    <numFmt numFmtId="189" formatCode="[$-409]m/d/yyyy"/>
    <numFmt numFmtId="190" formatCode="#,##0_ "/>
  </numFmts>
  <fonts count="29"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20"/>
      <name val="맑은 고딕"/>
      <family val="3"/>
      <charset val="129"/>
    </font>
    <font>
      <b/>
      <sz val="20"/>
      <name val="Noto Sans CJK SC"/>
      <family val="2"/>
    </font>
    <font>
      <sz val="11"/>
      <name val="Arial"/>
      <family val="2"/>
    </font>
    <font>
      <sz val="12"/>
      <name val="Noto Sans CJK SC"/>
      <family val="2"/>
    </font>
    <font>
      <sz val="12"/>
      <name val="맑은 고딕"/>
      <family val="3"/>
      <charset val="129"/>
    </font>
    <font>
      <sz val="11"/>
      <name val="Noto Sans CJK SC"/>
      <family val="2"/>
    </font>
    <font>
      <sz val="11"/>
      <name val="맑은 고딕"/>
      <family val="3"/>
      <charset val="129"/>
    </font>
    <font>
      <sz val="11"/>
      <color rgb="FF000000"/>
      <name val="Noto Sans CJK SC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Noto Sans CJK SC"/>
      <family val="2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1"/>
      <color rgb="FF000000"/>
      <name val="Noto Sans CJK SC"/>
      <family val="2"/>
    </font>
    <font>
      <b/>
      <sz val="11"/>
      <color rgb="FF000000"/>
      <name val="맑은 고딕"/>
      <family val="3"/>
      <charset val="129"/>
    </font>
    <font>
      <b/>
      <sz val="11"/>
      <name val="Noto Sans CJK SC"/>
      <family val="2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theme="7" tint="0.79998168889431442"/>
        <bgColor rgb="FFCCFFFF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13">
    <xf numFmtId="0" fontId="0" fillId="0" borderId="0">
      <alignment vertical="center"/>
    </xf>
    <xf numFmtId="178" fontId="24" fillId="0" borderId="0">
      <alignment vertical="center"/>
    </xf>
    <xf numFmtId="178" fontId="24" fillId="0" borderId="0">
      <alignment vertical="center"/>
    </xf>
    <xf numFmtId="178" fontId="24" fillId="0" borderId="0">
      <alignment vertical="center"/>
    </xf>
    <xf numFmtId="178" fontId="24" fillId="0" borderId="0">
      <alignment vertical="center"/>
    </xf>
    <xf numFmtId="178" fontId="1" fillId="0" borderId="0"/>
    <xf numFmtId="178" fontId="24" fillId="0" borderId="0">
      <alignment vertical="center"/>
    </xf>
    <xf numFmtId="178" fontId="1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</cellStyleXfs>
  <cellXfs count="297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shrinkToFit="1"/>
    </xf>
    <xf numFmtId="177" fontId="3" fillId="0" borderId="0" xfId="0" applyNumberFormat="1" applyFont="1" applyAlignment="1">
      <alignment horizontal="right" vertical="center" shrinkToFit="1"/>
    </xf>
    <xf numFmtId="0" fontId="3" fillId="0" borderId="0" xfId="0" applyFont="1" applyAlignment="1"/>
    <xf numFmtId="0" fontId="3" fillId="0" borderId="0" xfId="0" applyFont="1" applyAlignment="1">
      <alignment shrinkToFit="1"/>
    </xf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 applyProtection="1">
      <protection locked="0"/>
    </xf>
    <xf numFmtId="49" fontId="6" fillId="0" borderId="0" xfId="0" applyNumberFormat="1" applyFont="1" applyAlignment="1" applyProtection="1">
      <protection locked="0"/>
    </xf>
    <xf numFmtId="0" fontId="8" fillId="0" borderId="0" xfId="0" applyFont="1" applyAlignment="1">
      <alignment horizontal="left" vertical="center"/>
    </xf>
    <xf numFmtId="176" fontId="6" fillId="0" borderId="0" xfId="0" applyNumberFormat="1" applyFont="1">
      <alignment vertical="center"/>
    </xf>
    <xf numFmtId="178" fontId="6" fillId="0" borderId="0" xfId="12" applyNumberFormat="1" applyFo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>
      <alignment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6" fontId="9" fillId="0" borderId="6" xfId="0" applyNumberFormat="1" applyFont="1" applyBorder="1" applyAlignment="1" applyProtection="1">
      <alignment horizontal="center" vertical="center" shrinkToFit="1"/>
      <protection locked="0"/>
    </xf>
    <xf numFmtId="0" fontId="9" fillId="0" borderId="8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wrapText="1" shrinkToFit="1"/>
    </xf>
    <xf numFmtId="183" fontId="12" fillId="0" borderId="9" xfId="0" applyNumberFormat="1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178" fontId="6" fillId="0" borderId="4" xfId="12" applyNumberFormat="1" applyFont="1" applyBorder="1" applyAlignment="1">
      <alignment vertical="center" shrinkToFit="1"/>
    </xf>
    <xf numFmtId="178" fontId="6" fillId="0" borderId="6" xfId="12" applyNumberFormat="1" applyFont="1" applyBorder="1" applyAlignment="1">
      <alignment horizontal="center" vertical="center" shrinkToFit="1"/>
    </xf>
    <xf numFmtId="178" fontId="6" fillId="0" borderId="6" xfId="12" applyNumberFormat="1" applyFont="1" applyBorder="1" applyAlignment="1">
      <alignment vertical="center" shrinkToFit="1"/>
    </xf>
    <xf numFmtId="178" fontId="6" fillId="0" borderId="11" xfId="12" applyNumberFormat="1" applyFont="1" applyBorder="1" applyAlignment="1">
      <alignment horizontal="center" vertical="center" shrinkToFit="1"/>
    </xf>
    <xf numFmtId="176" fontId="9" fillId="2" borderId="15" xfId="0" applyNumberFormat="1" applyFont="1" applyFill="1" applyBorder="1" applyAlignment="1" applyProtection="1">
      <alignment horizontal="center" vertical="center" shrinkToFit="1"/>
      <protection locked="0"/>
    </xf>
    <xf numFmtId="183" fontId="12" fillId="2" borderId="13" xfId="0" applyNumberFormat="1" applyFont="1" applyFill="1" applyBorder="1" applyAlignment="1">
      <alignment horizontal="center" vertical="center"/>
    </xf>
    <xf numFmtId="183" fontId="13" fillId="2" borderId="13" xfId="0" applyNumberFormat="1" applyFont="1" applyFill="1" applyBorder="1" applyAlignment="1">
      <alignment horizontal="center" vertical="center"/>
    </xf>
    <xf numFmtId="178" fontId="6" fillId="0" borderId="19" xfId="12" applyNumberFormat="1" applyFont="1" applyBorder="1" applyAlignment="1">
      <alignment vertical="center" shrinkToFit="1"/>
    </xf>
    <xf numFmtId="178" fontId="6" fillId="0" borderId="16" xfId="12" applyNumberFormat="1" applyFont="1" applyBorder="1" applyAlignment="1">
      <alignment horizontal="center" vertical="center" shrinkToFit="1"/>
    </xf>
    <xf numFmtId="178" fontId="6" fillId="0" borderId="16" xfId="12" applyNumberFormat="1" applyFont="1" applyBorder="1" applyAlignment="1">
      <alignment vertical="center" shrinkToFit="1"/>
    </xf>
    <xf numFmtId="178" fontId="6" fillId="0" borderId="20" xfId="12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78" fontId="6" fillId="0" borderId="28" xfId="12" applyNumberFormat="1" applyFont="1" applyBorder="1" applyAlignment="1">
      <alignment vertical="center" shrinkToFit="1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15" fillId="0" borderId="0" xfId="0" applyFont="1" applyAlignment="1"/>
    <xf numFmtId="186" fontId="15" fillId="0" borderId="0" xfId="0" applyNumberFormat="1" applyFont="1" applyAlignment="1"/>
    <xf numFmtId="0" fontId="6" fillId="0" borderId="0" xfId="0" applyFont="1" applyAlignment="1">
      <alignment vertical="center" shrinkToFit="1"/>
    </xf>
    <xf numFmtId="177" fontId="6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177" fontId="3" fillId="0" borderId="0" xfId="0" applyNumberFormat="1" applyFont="1" applyAlignment="1">
      <alignment horizontal="center" vertical="center"/>
    </xf>
    <xf numFmtId="0" fontId="0" fillId="0" borderId="0" xfId="0" applyAlignment="1"/>
    <xf numFmtId="0" fontId="11" fillId="0" borderId="0" xfId="0" applyFont="1" applyAlignment="1"/>
    <xf numFmtId="187" fontId="0" fillId="0" borderId="0" xfId="0" applyNumberFormat="1" applyAlignme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distributed" vertical="distributed" wrapText="1" indent="1"/>
    </xf>
    <xf numFmtId="0" fontId="18" fillId="3" borderId="30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distributed" vertical="distributed" wrapText="1" indent="1"/>
    </xf>
    <xf numFmtId="0" fontId="18" fillId="2" borderId="30" xfId="0" applyFont="1" applyFill="1" applyBorder="1" applyAlignment="1">
      <alignment horizontal="distributed" vertical="distributed" wrapText="1" indent="1"/>
    </xf>
    <xf numFmtId="0" fontId="18" fillId="3" borderId="32" xfId="0" applyFont="1" applyFill="1" applyBorder="1" applyAlignment="1">
      <alignment horizontal="center" vertical="center"/>
    </xf>
    <xf numFmtId="178" fontId="16" fillId="0" borderId="32" xfId="0" applyNumberFormat="1" applyFont="1" applyBorder="1" applyAlignment="1">
      <alignment horizontal="center" vertical="center"/>
    </xf>
    <xf numFmtId="178" fontId="16" fillId="3" borderId="32" xfId="0" applyNumberFormat="1" applyFont="1" applyFill="1" applyBorder="1" applyAlignment="1">
      <alignment horizontal="center" vertical="center"/>
    </xf>
    <xf numFmtId="178" fontId="19" fillId="3" borderId="32" xfId="0" applyNumberFormat="1" applyFont="1" applyFill="1" applyBorder="1" applyAlignment="1">
      <alignment horizontal="center" vertical="center"/>
    </xf>
    <xf numFmtId="189" fontId="0" fillId="0" borderId="33" xfId="0" applyNumberForma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78" fontId="16" fillId="0" borderId="33" xfId="0" applyNumberFormat="1" applyFont="1" applyBorder="1" applyAlignment="1">
      <alignment horizontal="center" vertical="center"/>
    </xf>
    <xf numFmtId="178" fontId="16" fillId="3" borderId="33" xfId="0" applyNumberFormat="1" applyFont="1" applyFill="1" applyBorder="1" applyAlignment="1">
      <alignment horizontal="center" vertical="center"/>
    </xf>
    <xf numFmtId="178" fontId="19" fillId="2" borderId="33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78" fontId="19" fillId="3" borderId="2" xfId="0" applyNumberFormat="1" applyFont="1" applyFill="1" applyBorder="1" applyAlignment="1">
      <alignment horizontal="center" vertical="center"/>
    </xf>
    <xf numFmtId="178" fontId="19" fillId="3" borderId="34" xfId="0" applyNumberFormat="1" applyFont="1" applyFill="1" applyBorder="1" applyAlignment="1">
      <alignment horizontal="center" vertical="center"/>
    </xf>
    <xf numFmtId="190" fontId="16" fillId="0" borderId="2" xfId="0" applyNumberFormat="1" applyFont="1" applyBorder="1" applyAlignment="1">
      <alignment horizontal="center" vertical="center"/>
    </xf>
    <xf numFmtId="178" fontId="19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1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24" fillId="0" borderId="0" xfId="1">
      <alignment vertical="center"/>
    </xf>
    <xf numFmtId="178" fontId="6" fillId="0" borderId="42" xfId="12" applyNumberFormat="1" applyFont="1" applyBorder="1" applyAlignment="1">
      <alignment vertical="center" shrinkToFit="1"/>
    </xf>
    <xf numFmtId="178" fontId="6" fillId="0" borderId="9" xfId="12" applyNumberFormat="1" applyFont="1" applyBorder="1" applyAlignment="1">
      <alignment horizontal="center" vertical="center" shrinkToFit="1"/>
    </xf>
    <xf numFmtId="0" fontId="11" fillId="0" borderId="47" xfId="0" applyFont="1" applyBorder="1" applyAlignment="1" applyProtection="1">
      <alignment horizontal="center" vertical="center" shrinkToFit="1"/>
      <protection locked="0"/>
    </xf>
    <xf numFmtId="178" fontId="6" fillId="0" borderId="48" xfId="12" applyNumberFormat="1" applyFont="1" applyBorder="1" applyAlignment="1">
      <alignment vertical="center" shrinkToFit="1"/>
    </xf>
    <xf numFmtId="178" fontId="6" fillId="0" borderId="44" xfId="12" applyNumberFormat="1" applyFont="1" applyBorder="1" applyAlignment="1">
      <alignment vertical="center" shrinkToFit="1"/>
    </xf>
    <xf numFmtId="183" fontId="6" fillId="2" borderId="13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5" fillId="0" borderId="0" xfId="0" applyFont="1">
      <alignment vertical="center"/>
    </xf>
    <xf numFmtId="20" fontId="0" fillId="0" borderId="2" xfId="0" applyNumberFormat="1" applyBorder="1" applyAlignment="1">
      <alignment horizontal="center" vertical="center"/>
    </xf>
    <xf numFmtId="176" fontId="9" fillId="0" borderId="9" xfId="0" applyNumberFormat="1" applyFont="1" applyBorder="1" applyAlignment="1" applyProtection="1">
      <alignment horizontal="center" vertical="center" shrinkToFit="1"/>
      <protection locked="0"/>
    </xf>
    <xf numFmtId="178" fontId="6" fillId="0" borderId="8" xfId="12" applyNumberFormat="1" applyFont="1" applyBorder="1" applyAlignment="1">
      <alignment vertical="center" shrinkToFit="1"/>
    </xf>
    <xf numFmtId="178" fontId="6" fillId="0" borderId="9" xfId="12" applyNumberFormat="1" applyFont="1" applyBorder="1" applyAlignment="1">
      <alignment vertical="center" shrinkToFit="1"/>
    </xf>
    <xf numFmtId="178" fontId="6" fillId="0" borderId="52" xfId="12" applyNumberFormat="1" applyFont="1" applyBorder="1" applyAlignment="1">
      <alignment horizontal="center" vertical="center" shrinkToFit="1"/>
    </xf>
    <xf numFmtId="176" fontId="9" fillId="2" borderId="46" xfId="0" applyNumberFormat="1" applyFont="1" applyFill="1" applyBorder="1" applyAlignment="1" applyProtection="1">
      <alignment horizontal="center" vertical="center" shrinkToFit="1"/>
      <protection locked="0"/>
    </xf>
    <xf numFmtId="183" fontId="12" fillId="2" borderId="46" xfId="0" applyNumberFormat="1" applyFont="1" applyFill="1" applyBorder="1" applyAlignment="1">
      <alignment horizontal="center" vertical="center"/>
    </xf>
    <xf numFmtId="183" fontId="6" fillId="2" borderId="46" xfId="0" applyNumberFormat="1" applyFont="1" applyFill="1" applyBorder="1" applyAlignment="1">
      <alignment horizontal="center" vertical="center"/>
    </xf>
    <xf numFmtId="183" fontId="13" fillId="2" borderId="46" xfId="0" applyNumberFormat="1" applyFont="1" applyFill="1" applyBorder="1" applyAlignment="1">
      <alignment horizontal="center" vertical="center"/>
    </xf>
    <xf numFmtId="178" fontId="6" fillId="0" borderId="53" xfId="12" applyNumberFormat="1" applyFont="1" applyBorder="1" applyAlignment="1">
      <alignment vertical="center" shrinkToFit="1"/>
    </xf>
    <xf numFmtId="178" fontId="6" fillId="0" borderId="46" xfId="12" applyNumberFormat="1" applyFont="1" applyBorder="1" applyAlignment="1">
      <alignment horizontal="center" vertical="center" shrinkToFit="1"/>
    </xf>
    <xf numFmtId="178" fontId="6" fillId="0" borderId="46" xfId="12" applyNumberFormat="1" applyFont="1" applyBorder="1" applyAlignment="1">
      <alignment vertical="center" shrinkToFit="1"/>
    </xf>
    <xf numFmtId="178" fontId="6" fillId="0" borderId="54" xfId="12" applyNumberFormat="1" applyFont="1" applyBorder="1" applyAlignment="1">
      <alignment horizontal="center" vertical="center" shrinkToFit="1"/>
    </xf>
    <xf numFmtId="0" fontId="0" fillId="0" borderId="22" xfId="0" applyBorder="1" applyAlignment="1" applyProtection="1">
      <protection locked="0"/>
    </xf>
    <xf numFmtId="0" fontId="9" fillId="0" borderId="22" xfId="0" applyFont="1" applyBorder="1" applyAlignment="1" applyProtection="1">
      <alignment horizontal="center" vertical="center" shrinkToFit="1"/>
      <protection locked="0"/>
    </xf>
    <xf numFmtId="0" fontId="6" fillId="0" borderId="55" xfId="12" applyFont="1" applyBorder="1" applyAlignment="1">
      <alignment vertical="center" shrinkToFit="1"/>
    </xf>
    <xf numFmtId="0" fontId="6" fillId="0" borderId="22" xfId="12" applyFont="1" applyBorder="1" applyAlignment="1">
      <alignment horizontal="center" vertical="center" shrinkToFit="1"/>
    </xf>
    <xf numFmtId="0" fontId="6" fillId="0" borderId="22" xfId="12" applyFont="1" applyBorder="1" applyAlignment="1">
      <alignment vertical="center" shrinkToFit="1"/>
    </xf>
    <xf numFmtId="0" fontId="6" fillId="0" borderId="56" xfId="12" applyFont="1" applyBorder="1" applyAlignment="1">
      <alignment horizontal="center" vertical="center" shrinkToFit="1"/>
    </xf>
    <xf numFmtId="176" fontId="9" fillId="5" borderId="22" xfId="0" applyNumberFormat="1" applyFont="1" applyFill="1" applyBorder="1" applyAlignment="1" applyProtection="1">
      <alignment horizontal="center" vertical="center" shrinkToFit="1"/>
      <protection locked="0"/>
    </xf>
    <xf numFmtId="0" fontId="12" fillId="5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183" fontId="12" fillId="5" borderId="22" xfId="0" applyNumberFormat="1" applyFont="1" applyFill="1" applyBorder="1" applyAlignment="1">
      <alignment horizontal="center" vertical="center"/>
    </xf>
    <xf numFmtId="0" fontId="0" fillId="0" borderId="41" xfId="0" applyBorder="1" applyAlignment="1" applyProtection="1">
      <alignment horizontal="center" vertical="center" shrinkToFit="1"/>
      <protection locked="0"/>
    </xf>
    <xf numFmtId="183" fontId="27" fillId="0" borderId="9" xfId="0" applyNumberFormat="1" applyFont="1" applyBorder="1" applyAlignment="1">
      <alignment horizontal="center" vertical="center"/>
    </xf>
    <xf numFmtId="183" fontId="27" fillId="2" borderId="13" xfId="0" applyNumberFormat="1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/>
    </xf>
    <xf numFmtId="183" fontId="27" fillId="2" borderId="46" xfId="0" applyNumberFormat="1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78" fontId="6" fillId="0" borderId="10" xfId="12" applyNumberFormat="1" applyFont="1" applyBorder="1" applyAlignment="1">
      <alignment horizontal="center" vertical="center" shrinkToFit="1"/>
    </xf>
    <xf numFmtId="178" fontId="6" fillId="0" borderId="26" xfId="12" applyNumberFormat="1" applyFont="1" applyBorder="1" applyAlignment="1">
      <alignment horizontal="center" vertical="center" shrinkToFit="1"/>
    </xf>
    <xf numFmtId="178" fontId="6" fillId="0" borderId="29" xfId="12" applyNumberFormat="1" applyFont="1" applyBorder="1" applyAlignment="1">
      <alignment horizontal="center" vertical="center" shrinkToFit="1"/>
    </xf>
    <xf numFmtId="178" fontId="10" fillId="0" borderId="57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58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37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6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15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16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24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25" xfId="0" applyNumberFormat="1" applyFont="1" applyBorder="1" applyAlignment="1" applyProtection="1">
      <alignment horizontal="center" vertical="center" wrapText="1" shrinkToFit="1"/>
      <protection locked="0"/>
    </xf>
    <xf numFmtId="178" fontId="10" fillId="0" borderId="39" xfId="0" applyNumberFormat="1" applyFont="1" applyBorder="1" applyAlignment="1" applyProtection="1">
      <alignment horizontal="center" vertical="center" wrapText="1" shrinkToFit="1"/>
      <protection locked="0"/>
    </xf>
    <xf numFmtId="184" fontId="11" fillId="0" borderId="6" xfId="12" applyNumberFormat="1" applyFont="1" applyBorder="1" applyAlignment="1">
      <alignment horizontal="center" vertical="center" shrinkToFit="1"/>
    </xf>
    <xf numFmtId="184" fontId="11" fillId="0" borderId="15" xfId="12" applyNumberFormat="1" applyFont="1" applyBorder="1" applyAlignment="1">
      <alignment horizontal="center" vertical="center" shrinkToFit="1"/>
    </xf>
    <xf numFmtId="184" fontId="11" fillId="0" borderId="16" xfId="12" applyNumberFormat="1" applyFont="1" applyBorder="1" applyAlignment="1">
      <alignment horizontal="center" vertical="center" shrinkToFit="1"/>
    </xf>
    <xf numFmtId="178" fontId="6" fillId="0" borderId="10" xfId="0" applyNumberFormat="1" applyFont="1" applyBorder="1" applyAlignment="1" applyProtection="1">
      <alignment horizontal="center" vertical="center" shrinkToFit="1"/>
      <protection locked="0"/>
    </xf>
    <xf numFmtId="178" fontId="6" fillId="0" borderId="26" xfId="0" applyNumberFormat="1" applyFont="1" applyBorder="1" applyAlignment="1" applyProtection="1">
      <alignment horizontal="center" vertical="center" shrinkToFit="1"/>
      <protection locked="0"/>
    </xf>
    <xf numFmtId="178" fontId="6" fillId="0" borderId="29" xfId="0" applyNumberFormat="1" applyFont="1" applyBorder="1" applyAlignment="1" applyProtection="1">
      <alignment horizontal="center" vertical="center" shrinkToFit="1"/>
      <protection locked="0"/>
    </xf>
    <xf numFmtId="0" fontId="9" fillId="0" borderId="9" xfId="0" applyFont="1" applyBorder="1" applyAlignment="1" applyProtection="1">
      <alignment horizontal="center" vertical="center" shrinkToFit="1"/>
      <protection locked="0"/>
    </xf>
    <xf numFmtId="0" fontId="9" fillId="0" borderId="46" xfId="0" applyFont="1" applyBorder="1" applyAlignment="1" applyProtection="1">
      <alignment horizontal="center" vertical="center" shrinkToFit="1"/>
      <protection locked="0"/>
    </xf>
    <xf numFmtId="176" fontId="9" fillId="0" borderId="9" xfId="0" applyNumberFormat="1" applyFont="1" applyBorder="1" applyAlignment="1" applyProtection="1">
      <alignment horizontal="center" vertical="center" wrapText="1" shrinkToFit="1"/>
      <protection locked="0"/>
    </xf>
    <xf numFmtId="0" fontId="0" fillId="0" borderId="46" xfId="0" applyBorder="1" applyAlignment="1" applyProtection="1">
      <protection locked="0"/>
    </xf>
    <xf numFmtId="176" fontId="9" fillId="0" borderId="6" xfId="0" applyNumberFormat="1" applyFont="1" applyBorder="1" applyAlignment="1" applyProtection="1">
      <alignment horizontal="center" vertical="center" shrinkToFit="1"/>
      <protection locked="0"/>
    </xf>
    <xf numFmtId="176" fontId="9" fillId="0" borderId="15" xfId="0" applyNumberFormat="1" applyFont="1" applyBorder="1" applyAlignment="1" applyProtection="1">
      <alignment horizontal="center" vertical="center" shrinkToFit="1"/>
      <protection locked="0"/>
    </xf>
    <xf numFmtId="176" fontId="9" fillId="0" borderId="16" xfId="0" applyNumberFormat="1" applyFont="1" applyBorder="1" applyAlignment="1" applyProtection="1">
      <alignment horizontal="center" vertical="center" shrinkToFit="1"/>
      <protection locked="0"/>
    </xf>
    <xf numFmtId="184" fontId="12" fillId="0" borderId="6" xfId="12" applyNumberFormat="1" applyFont="1" applyBorder="1" applyAlignment="1">
      <alignment horizontal="center" vertical="center" shrinkToFit="1"/>
    </xf>
    <xf numFmtId="184" fontId="12" fillId="0" borderId="15" xfId="12" applyNumberFormat="1" applyFont="1" applyBorder="1" applyAlignment="1">
      <alignment horizontal="center" vertical="center" shrinkToFit="1"/>
    </xf>
    <xf numFmtId="184" fontId="12" fillId="0" borderId="16" xfId="12" applyNumberFormat="1" applyFont="1" applyBorder="1" applyAlignment="1">
      <alignment horizontal="center" vertical="center" shrinkToFit="1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10" fillId="0" borderId="36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49" fontId="10" fillId="0" borderId="6" xfId="0" applyNumberFormat="1" applyFont="1" applyBorder="1" applyAlignment="1" applyProtection="1">
      <alignment horizontal="center" vertical="center" shrinkToFit="1"/>
      <protection locked="0"/>
    </xf>
    <xf numFmtId="49" fontId="10" fillId="0" borderId="15" xfId="0" applyNumberFormat="1" applyFont="1" applyBorder="1" applyAlignment="1" applyProtection="1">
      <alignment horizontal="center" vertical="center" shrinkToFit="1"/>
      <protection locked="0"/>
    </xf>
    <xf numFmtId="49" fontId="10" fillId="0" borderId="16" xfId="0" applyNumberFormat="1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 shrinkToFit="1"/>
      <protection locked="0"/>
    </xf>
    <xf numFmtId="0" fontId="10" fillId="0" borderId="15" xfId="0" applyFont="1" applyBorder="1" applyAlignment="1" applyProtection="1">
      <alignment horizontal="center" vertical="center" wrapText="1" shrinkToFit="1"/>
      <protection locked="0"/>
    </xf>
    <xf numFmtId="0" fontId="10" fillId="0" borderId="16" xfId="0" applyFont="1" applyBorder="1" applyAlignment="1" applyProtection="1">
      <alignment horizontal="center" vertical="center" wrapText="1" shrinkToFit="1"/>
      <protection locked="0"/>
    </xf>
    <xf numFmtId="0" fontId="9" fillId="0" borderId="6" xfId="0" applyFont="1" applyBorder="1" applyAlignment="1" applyProtection="1">
      <alignment horizontal="center" vertical="center" wrapText="1" shrinkToFit="1"/>
      <protection locked="0"/>
    </xf>
    <xf numFmtId="0" fontId="9" fillId="0" borderId="15" xfId="0" applyFont="1" applyBorder="1" applyAlignment="1" applyProtection="1">
      <alignment horizontal="center" vertical="center" wrapText="1" shrinkToFit="1"/>
      <protection locked="0"/>
    </xf>
    <xf numFmtId="0" fontId="9" fillId="0" borderId="16" xfId="0" applyFont="1" applyBorder="1" applyAlignment="1" applyProtection="1">
      <alignment horizontal="center" vertical="center" wrapText="1" shrinkToFit="1"/>
      <protection locked="0"/>
    </xf>
    <xf numFmtId="176" fontId="10" fillId="0" borderId="6" xfId="0" applyNumberFormat="1" applyFont="1" applyBorder="1" applyAlignment="1" applyProtection="1">
      <alignment horizontal="center" vertical="center" wrapText="1" shrinkToFit="1"/>
      <protection locked="0"/>
    </xf>
    <xf numFmtId="176" fontId="10" fillId="0" borderId="15" xfId="0" applyNumberFormat="1" applyFont="1" applyBorder="1" applyAlignment="1" applyProtection="1">
      <alignment horizontal="center" vertical="center" wrapText="1" shrinkToFit="1"/>
      <protection locked="0"/>
    </xf>
    <xf numFmtId="176" fontId="10" fillId="0" borderId="16" xfId="0" applyNumberFormat="1" applyFont="1" applyBorder="1" applyAlignment="1" applyProtection="1">
      <alignment horizontal="center" vertical="center" wrapText="1" shrinkToFit="1"/>
      <protection locked="0"/>
    </xf>
    <xf numFmtId="182" fontId="10" fillId="0" borderId="6" xfId="0" applyNumberFormat="1" applyFont="1" applyBorder="1" applyAlignment="1" applyProtection="1">
      <alignment horizontal="center" vertical="center" shrinkToFit="1"/>
      <protection locked="0"/>
    </xf>
    <xf numFmtId="182" fontId="10" fillId="0" borderId="15" xfId="0" applyNumberFormat="1" applyFont="1" applyBorder="1" applyAlignment="1" applyProtection="1">
      <alignment horizontal="center" vertical="center" shrinkToFit="1"/>
      <protection locked="0"/>
    </xf>
    <xf numFmtId="182" fontId="10" fillId="0" borderId="16" xfId="0" applyNumberFormat="1" applyFont="1" applyBorder="1" applyAlignment="1" applyProtection="1">
      <alignment horizontal="center" vertical="center" shrinkToFit="1"/>
      <protection locked="0"/>
    </xf>
    <xf numFmtId="182" fontId="10" fillId="0" borderId="9" xfId="0" applyNumberFormat="1" applyFont="1" applyBorder="1" applyAlignment="1" applyProtection="1">
      <alignment horizontal="center" vertical="center" shrinkToFit="1"/>
      <protection locked="0"/>
    </xf>
    <xf numFmtId="176" fontId="0" fillId="0" borderId="9" xfId="0" applyNumberFormat="1" applyBorder="1" applyAlignment="1" applyProtection="1">
      <alignment horizontal="center" vertical="center" wrapText="1" shrinkToFit="1"/>
      <protection locked="0"/>
    </xf>
    <xf numFmtId="0" fontId="10" fillId="0" borderId="9" xfId="0" applyFont="1" applyBorder="1" applyAlignment="1" applyProtection="1">
      <alignment horizontal="center" vertical="center" shrinkToFit="1"/>
      <protection locked="0"/>
    </xf>
    <xf numFmtId="180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9" fillId="0" borderId="16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179" fontId="4" fillId="0" borderId="0" xfId="0" applyNumberFormat="1" applyFont="1" applyAlignment="1">
      <alignment horizontal="center" vertical="center"/>
    </xf>
    <xf numFmtId="181" fontId="6" fillId="0" borderId="5" xfId="0" applyNumberFormat="1" applyFont="1" applyBorder="1" applyAlignment="1">
      <alignment horizontal="center" vertical="center"/>
    </xf>
    <xf numFmtId="0" fontId="0" fillId="0" borderId="16" xfId="0" applyBorder="1" applyAlignment="1"/>
    <xf numFmtId="176" fontId="9" fillId="0" borderId="5" xfId="0" applyNumberFormat="1" applyFont="1" applyBorder="1" applyAlignment="1" applyProtection="1">
      <alignment horizontal="center" vertical="center" shrinkToFit="1"/>
      <protection locked="0"/>
    </xf>
    <xf numFmtId="0" fontId="0" fillId="0" borderId="16" xfId="0" applyBorder="1" applyAlignment="1" applyProtection="1">
      <protection locked="0"/>
    </xf>
    <xf numFmtId="181" fontId="27" fillId="0" borderId="5" xfId="0" applyNumberFormat="1" applyFont="1" applyBorder="1" applyAlignment="1">
      <alignment horizontal="center" vertical="center"/>
    </xf>
    <xf numFmtId="0" fontId="28" fillId="0" borderId="16" xfId="0" applyFont="1" applyBorder="1" applyAlignment="1"/>
    <xf numFmtId="0" fontId="9" fillId="0" borderId="5" xfId="0" applyFont="1" applyBorder="1" applyAlignment="1" applyProtection="1">
      <alignment horizontal="center" vertical="center" wrapText="1" shrinkToFit="1"/>
      <protection locked="0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15" xfId="0" applyBorder="1" applyAlignment="1" applyProtection="1">
      <protection locked="0"/>
    </xf>
    <xf numFmtId="0" fontId="0" fillId="0" borderId="36" xfId="0" applyBorder="1" applyAlignment="1" applyProtection="1">
      <protection locked="0"/>
    </xf>
    <xf numFmtId="182" fontId="10" fillId="0" borderId="5" xfId="0" applyNumberFormat="1" applyFont="1" applyBorder="1" applyAlignment="1" applyProtection="1">
      <alignment horizontal="center" vertical="center" shrinkToFit="1"/>
      <protection locked="0"/>
    </xf>
    <xf numFmtId="49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7" xfId="0" applyFont="1" applyBorder="1" applyAlignment="1" applyProtection="1">
      <alignment horizontal="center" vertical="center" shrinkToFit="1"/>
      <protection locked="0"/>
    </xf>
    <xf numFmtId="0" fontId="0" fillId="0" borderId="19" xfId="0" applyBorder="1" applyAlignment="1" applyProtection="1">
      <protection locked="0"/>
    </xf>
    <xf numFmtId="176" fontId="9" fillId="0" borderId="5" xfId="0" applyNumberFormat="1" applyFont="1" applyBorder="1" applyAlignment="1" applyProtection="1">
      <alignment horizontal="center" vertical="center" wrapText="1" shrinkToFit="1"/>
      <protection locked="0"/>
    </xf>
    <xf numFmtId="49" fontId="9" fillId="0" borderId="5" xfId="0" applyNumberFormat="1" applyFont="1" applyBorder="1" applyAlignment="1" applyProtection="1">
      <alignment horizontal="center" vertical="center" shrinkToFit="1"/>
      <protection locked="0"/>
    </xf>
    <xf numFmtId="176" fontId="10" fillId="0" borderId="5" xfId="0" applyNumberFormat="1" applyFont="1" applyBorder="1" applyAlignment="1" applyProtection="1">
      <alignment horizontal="center" vertical="center" wrapText="1" shrinkToFit="1"/>
      <protection locked="0"/>
    </xf>
    <xf numFmtId="176" fontId="0" fillId="0" borderId="5" xfId="0" applyNumberFormat="1" applyBorder="1" applyAlignment="1" applyProtection="1">
      <alignment horizontal="center" vertical="center" wrapText="1" shrinkToFit="1"/>
      <protection locked="0"/>
    </xf>
    <xf numFmtId="0" fontId="6" fillId="0" borderId="21" xfId="0" applyFont="1" applyBorder="1" applyAlignment="1">
      <alignment horizontal="center" vertical="center"/>
    </xf>
    <xf numFmtId="0" fontId="0" fillId="0" borderId="21" xfId="0" applyBorder="1" applyAlignment="1"/>
    <xf numFmtId="176" fontId="14" fillId="0" borderId="5" xfId="0" applyNumberFormat="1" applyFont="1" applyBorder="1" applyAlignment="1" applyProtection="1">
      <alignment horizontal="center" vertical="center" wrapText="1" shrinkToFit="1"/>
      <protection locked="0"/>
    </xf>
    <xf numFmtId="176" fontId="10" fillId="0" borderId="5" xfId="0" applyNumberFormat="1" applyFont="1" applyBorder="1" applyAlignment="1" applyProtection="1">
      <alignment horizontal="center" vertical="center" shrinkToFit="1"/>
      <protection locked="0"/>
    </xf>
    <xf numFmtId="176" fontId="11" fillId="0" borderId="5" xfId="0" applyNumberFormat="1" applyFont="1" applyBorder="1" applyAlignment="1" applyProtection="1">
      <alignment horizontal="center" vertical="center" wrapText="1" shrinkToFit="1"/>
      <protection locked="0"/>
    </xf>
    <xf numFmtId="0" fontId="9" fillId="0" borderId="2" xfId="0" applyFont="1" applyBorder="1" applyAlignment="1">
      <alignment horizontal="center" vertical="center" shrinkToFit="1"/>
    </xf>
    <xf numFmtId="0" fontId="0" fillId="0" borderId="27" xfId="0" applyBorder="1" applyAlignment="1"/>
    <xf numFmtId="0" fontId="0" fillId="0" borderId="34" xfId="0" applyBorder="1" applyAlignment="1"/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35" xfId="0" applyBorder="1" applyAlignment="1"/>
    <xf numFmtId="178" fontId="6" fillId="0" borderId="18" xfId="12" applyNumberFormat="1" applyFont="1" applyBorder="1" applyAlignment="1" applyProtection="1">
      <alignment horizontal="center" vertical="center" wrapText="1" shrinkToFit="1"/>
      <protection locked="0"/>
    </xf>
    <xf numFmtId="0" fontId="0" fillId="0" borderId="29" xfId="0" applyBorder="1" applyAlignment="1" applyProtection="1">
      <protection locked="0"/>
    </xf>
    <xf numFmtId="178" fontId="6" fillId="0" borderId="18" xfId="12" applyNumberFormat="1" applyFont="1" applyBorder="1" applyAlignment="1">
      <alignment horizontal="center" vertical="center" shrinkToFit="1"/>
    </xf>
    <xf numFmtId="0" fontId="0" fillId="0" borderId="29" xfId="0" applyBorder="1" applyAlignment="1"/>
    <xf numFmtId="184" fontId="12" fillId="0" borderId="5" xfId="12" applyNumberFormat="1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0" fillId="0" borderId="37" xfId="0" applyBorder="1" applyAlignment="1"/>
    <xf numFmtId="178" fontId="6" fillId="0" borderId="7" xfId="0" applyNumberFormat="1" applyFont="1" applyBorder="1" applyAlignment="1">
      <alignment horizontal="center" vertical="center" shrinkToFit="1"/>
    </xf>
    <xf numFmtId="178" fontId="6" fillId="0" borderId="7" xfId="0" applyNumberFormat="1" applyFont="1" applyBorder="1" applyAlignment="1" applyProtection="1">
      <alignment horizontal="center" vertical="center" shrinkToFit="1"/>
      <protection locked="0"/>
    </xf>
    <xf numFmtId="0" fontId="0" fillId="0" borderId="37" xfId="0" applyBorder="1" applyAlignment="1" applyProtection="1">
      <protection locked="0"/>
    </xf>
    <xf numFmtId="177" fontId="9" fillId="0" borderId="5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0" fillId="0" borderId="26" xfId="0" applyBorder="1" applyAlignment="1"/>
    <xf numFmtId="178" fontId="6" fillId="0" borderId="5" xfId="12" applyNumberFormat="1" applyFont="1" applyBorder="1" applyAlignment="1">
      <alignment horizontal="center" vertical="center" shrinkToFit="1"/>
    </xf>
    <xf numFmtId="184" fontId="6" fillId="0" borderId="42" xfId="12" applyNumberFormat="1" applyFont="1" applyBorder="1" applyAlignment="1">
      <alignment horizontal="center" vertical="center" shrinkToFit="1"/>
    </xf>
    <xf numFmtId="0" fontId="0" fillId="0" borderId="48" xfId="0" applyBorder="1" applyAlignment="1"/>
    <xf numFmtId="0" fontId="26" fillId="0" borderId="2" xfId="0" applyFont="1" applyBorder="1" applyAlignment="1" applyProtection="1">
      <alignment horizontal="center" vertical="center" shrinkToFit="1"/>
      <protection locked="0"/>
    </xf>
    <xf numFmtId="0" fontId="0" fillId="0" borderId="23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0" fillId="0" borderId="38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39" xfId="0" applyBorder="1" applyAlignment="1" applyProtection="1">
      <protection locked="0"/>
    </xf>
    <xf numFmtId="177" fontId="9" fillId="0" borderId="6" xfId="0" applyNumberFormat="1" applyFont="1" applyBorder="1" applyAlignment="1">
      <alignment horizontal="center" vertical="center" shrinkToFit="1"/>
    </xf>
    <xf numFmtId="0" fontId="0" fillId="0" borderId="15" xfId="0" applyBorder="1" applyAlignment="1"/>
    <xf numFmtId="184" fontId="11" fillId="0" borderId="5" xfId="12" applyNumberFormat="1" applyFont="1" applyBorder="1" applyAlignment="1">
      <alignment horizontal="center" vertical="center" shrinkToFit="1"/>
    </xf>
    <xf numFmtId="0" fontId="6" fillId="0" borderId="42" xfId="0" applyFont="1" applyBorder="1" applyAlignment="1" applyProtection="1">
      <alignment horizontal="center" vertical="center" shrinkToFit="1"/>
      <protection locked="0"/>
    </xf>
    <xf numFmtId="0" fontId="0" fillId="0" borderId="48" xfId="0" applyBorder="1" applyAlignment="1" applyProtection="1">
      <protection locked="0"/>
    </xf>
    <xf numFmtId="0" fontId="11" fillId="0" borderId="5" xfId="0" applyFont="1" applyBorder="1" applyAlignment="1" applyProtection="1">
      <alignment horizontal="center" vertical="center" wrapText="1" shrinkToFit="1"/>
      <protection locked="0"/>
    </xf>
    <xf numFmtId="176" fontId="12" fillId="0" borderId="5" xfId="0" applyNumberFormat="1" applyFont="1" applyBorder="1" applyAlignment="1" applyProtection="1">
      <alignment horizontal="center" vertical="center" wrapText="1" shrinkToFit="1"/>
      <protection locked="0"/>
    </xf>
    <xf numFmtId="176" fontId="6" fillId="0" borderId="5" xfId="0" applyNumberFormat="1" applyFont="1" applyBorder="1" applyAlignment="1" applyProtection="1">
      <alignment horizontal="center" vertical="center" wrapText="1" shrinkToFit="1"/>
      <protection locked="0"/>
    </xf>
    <xf numFmtId="178" fontId="6" fillId="0" borderId="45" xfId="0" applyNumberFormat="1" applyFont="1" applyBorder="1" applyAlignment="1">
      <alignment horizontal="center" vertical="center" shrinkToFit="1"/>
    </xf>
    <xf numFmtId="0" fontId="0" fillId="0" borderId="50" xfId="0" applyBorder="1" applyAlignment="1"/>
    <xf numFmtId="178" fontId="6" fillId="0" borderId="9" xfId="12" applyNumberFormat="1" applyFont="1" applyBorder="1" applyAlignment="1">
      <alignment horizontal="center" vertical="center" shrinkToFit="1"/>
    </xf>
    <xf numFmtId="0" fontId="0" fillId="0" borderId="22" xfId="0" applyBorder="1" applyAlignment="1"/>
    <xf numFmtId="178" fontId="6" fillId="0" borderId="42" xfId="12" applyNumberFormat="1" applyFont="1" applyBorder="1" applyAlignment="1">
      <alignment horizontal="center" vertical="center" shrinkToFit="1"/>
    </xf>
    <xf numFmtId="178" fontId="6" fillId="0" borderId="43" xfId="12" applyNumberFormat="1" applyFont="1" applyBorder="1" applyAlignment="1">
      <alignment horizontal="center" vertical="center" shrinkToFit="1"/>
    </xf>
    <xf numFmtId="0" fontId="0" fillId="0" borderId="49" xfId="0" applyBorder="1" applyAlignment="1"/>
    <xf numFmtId="184" fontId="12" fillId="0" borderId="9" xfId="12" applyNumberFormat="1" applyFont="1" applyBorder="1" applyAlignment="1">
      <alignment horizontal="center" vertical="center" shrinkToFit="1"/>
    </xf>
    <xf numFmtId="178" fontId="6" fillId="0" borderId="44" xfId="12" applyNumberFormat="1" applyFont="1" applyBorder="1" applyAlignment="1">
      <alignment horizontal="center" vertical="center" shrinkToFit="1"/>
    </xf>
    <xf numFmtId="0" fontId="0" fillId="0" borderId="28" xfId="0" applyBorder="1" applyAlignment="1"/>
    <xf numFmtId="0" fontId="18" fillId="3" borderId="2" xfId="0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16" fillId="0" borderId="31" xfId="0" applyFont="1" applyBorder="1" applyAlignment="1">
      <alignment horizontal="center" vertical="center"/>
    </xf>
    <xf numFmtId="0" fontId="0" fillId="0" borderId="40" xfId="0" applyBorder="1" applyAlignment="1"/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188" fontId="0" fillId="0" borderId="1" xfId="0" applyNumberFormat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8" fillId="0" borderId="3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/>
    <xf numFmtId="190" fontId="0" fillId="0" borderId="27" xfId="12" applyNumberFormat="1" applyFont="1" applyBorder="1" applyAlignment="1">
      <alignment horizontal="right" vertical="center" indent="1"/>
    </xf>
    <xf numFmtId="0" fontId="0" fillId="0" borderId="25" xfId="0" applyBorder="1" applyAlignment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27" xfId="0" applyFont="1" applyBorder="1" applyAlignment="1">
      <alignment horizontal="distributed" vertical="distributed" wrapText="1" indent="1"/>
    </xf>
    <xf numFmtId="0" fontId="21" fillId="4" borderId="2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distributed" vertical="distributed" wrapText="1" indent="1"/>
    </xf>
    <xf numFmtId="0" fontId="0" fillId="0" borderId="23" xfId="0" applyBorder="1" applyAlignment="1"/>
    <xf numFmtId="0" fontId="23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distributed" vertical="distributed" wrapText="1" indent="1"/>
    </xf>
    <xf numFmtId="0" fontId="21" fillId="4" borderId="35" xfId="0" applyFont="1" applyFill="1" applyBorder="1" applyAlignment="1">
      <alignment horizontal="center" vertical="center"/>
    </xf>
    <xf numFmtId="190" fontId="0" fillId="0" borderId="30" xfId="12" applyNumberFormat="1" applyFont="1" applyBorder="1" applyAlignment="1">
      <alignment horizontal="right" vertical="center" indent="1"/>
    </xf>
    <xf numFmtId="0" fontId="22" fillId="3" borderId="23" xfId="0" applyFont="1" applyFill="1" applyBorder="1" applyAlignment="1">
      <alignment horizontal="right" vertical="center" indent="1"/>
    </xf>
    <xf numFmtId="190" fontId="22" fillId="4" borderId="2" xfId="12" applyNumberFormat="1" applyFont="1" applyFill="1" applyBorder="1" applyAlignment="1">
      <alignment horizontal="right" vertical="center" indent="1"/>
    </xf>
    <xf numFmtId="0" fontId="21" fillId="3" borderId="23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right" vertical="center"/>
    </xf>
    <xf numFmtId="0" fontId="22" fillId="3" borderId="23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189" fontId="0" fillId="0" borderId="0" xfId="0" applyNumberFormat="1" applyAlignment="1">
      <alignment horizontal="left" vertical="center"/>
    </xf>
    <xf numFmtId="0" fontId="11" fillId="0" borderId="34" xfId="0" applyFont="1" applyBorder="1" applyAlignment="1">
      <alignment horizontal="center" vertical="distributed" wrapText="1"/>
    </xf>
    <xf numFmtId="0" fontId="0" fillId="0" borderId="1" xfId="0" applyBorder="1" applyAlignment="1">
      <alignment horizontal="center" vertical="center"/>
    </xf>
  </cellXfs>
  <cellStyles count="13">
    <cellStyle name="쉼표 [0]" xfId="1" builtinId="6"/>
    <cellStyle name="쉼표 [0] 2" xfId="2" xr:uid="{00000000-0005-0000-0000-000006000000}"/>
    <cellStyle name="쉼표 [0] 2 2" xfId="3" xr:uid="{00000000-0005-0000-0000-000007000000}"/>
    <cellStyle name="쉼표 [0] 2 3" xfId="4" xr:uid="{00000000-0005-0000-0000-000008000000}"/>
    <cellStyle name="쉼표 [0] 2 4" xfId="5" xr:uid="{00000000-0005-0000-0000-000009000000}"/>
    <cellStyle name="쉼표 [0] 3" xfId="6" xr:uid="{00000000-0005-0000-0000-00000A000000}"/>
    <cellStyle name="쉼표 [0] 4" xfId="7" xr:uid="{00000000-0005-0000-0000-00000B000000}"/>
    <cellStyle name="표준" xfId="0" builtinId="0"/>
    <cellStyle name="표준 2" xfId="8" xr:uid="{00000000-0005-0000-0000-00000C000000}"/>
    <cellStyle name="표준 2 2" xfId="9" xr:uid="{00000000-0005-0000-0000-00000D000000}"/>
    <cellStyle name="표준 2 3" xfId="10" xr:uid="{00000000-0005-0000-0000-00000E000000}"/>
    <cellStyle name="표준 3" xfId="11" xr:uid="{00000000-0005-0000-0000-00000F000000}"/>
    <cellStyle name="표준 4" xfId="12" xr:uid="{00000000-0005-0000-0000-000010000000}"/>
  </cellStyles>
  <dxfs count="1">
    <dxf>
      <font>
        <color rgb="FFC00000"/>
      </font>
      <fill>
        <patternFill patternType="solid">
          <fgColor rgb="FFFDE9E7"/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44540;&#53468;&#44592;&#47197;/2605-&#46384;&#5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설정"/>
      <sheetName val="2.공휴일리스트"/>
      <sheetName val="3.출퇴근기록부"/>
      <sheetName val="4.급여명세서"/>
    </sheetNames>
    <sheetDataSet>
      <sheetData sheetId="0">
        <row r="2">
          <cell r="B2">
            <v>46127</v>
          </cell>
        </row>
      </sheetData>
      <sheetData sheetId="1"/>
      <sheetData sheetId="2">
        <row r="3">
          <cell r="F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X131"/>
  <sheetViews>
    <sheetView tabSelected="1" zoomScale="85" zoomScaleNormal="85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Z12" sqref="Z12"/>
    </sheetView>
  </sheetViews>
  <sheetFormatPr defaultColWidth="30.375" defaultRowHeight="12.75" customHeight="1"/>
  <cols>
    <col min="1" max="1" width="3.625" style="1" customWidth="1"/>
    <col min="2" max="2" width="8.625" style="2" customWidth="1"/>
    <col min="3" max="3" width="14.125" style="1" bestFit="1" customWidth="1"/>
    <col min="4" max="4" width="20.125" style="1" hidden="1" customWidth="1"/>
    <col min="5" max="5" width="7.125" style="1" customWidth="1"/>
    <col min="6" max="6" width="18.75" style="3" customWidth="1"/>
    <col min="7" max="7" width="14.75" style="3" customWidth="1"/>
    <col min="8" max="8" width="14.75" style="3" hidden="1" customWidth="1"/>
    <col min="9" max="9" width="17.75" style="3" hidden="1" customWidth="1"/>
    <col min="10" max="10" width="15.125" style="3" hidden="1" customWidth="1"/>
    <col min="11" max="11" width="28.25" style="3" hidden="1" customWidth="1"/>
    <col min="12" max="13" width="6.375" style="4" customWidth="1"/>
    <col min="14" max="44" width="8.25" style="5" customWidth="1"/>
    <col min="45" max="46" width="6.125" style="6" customWidth="1"/>
    <col min="47" max="47" width="9.625" style="7" customWidth="1"/>
    <col min="48" max="56" width="10.625" style="8" customWidth="1"/>
    <col min="57" max="57" width="11.125" style="9" customWidth="1"/>
    <col min="58" max="58" width="10.625" style="9" customWidth="1"/>
    <col min="59" max="59" width="10.625" style="8" customWidth="1"/>
    <col min="60" max="60" width="12.625" style="8" customWidth="1"/>
    <col min="61" max="61" width="14.375" style="7" customWidth="1"/>
    <col min="62" max="62" width="27.5" style="10" customWidth="1"/>
    <col min="63" max="258" width="30.375" style="7" customWidth="1"/>
  </cols>
  <sheetData>
    <row r="1" spans="1:258" ht="35.2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9">
        <f>AU20*209</f>
        <v>2156880</v>
      </c>
      <c r="L1" s="100"/>
      <c r="M1" s="100"/>
      <c r="N1" s="100"/>
      <c r="O1" s="100"/>
      <c r="P1" s="100"/>
      <c r="Q1" s="100"/>
      <c r="R1" s="100"/>
      <c r="S1" s="186">
        <v>2026</v>
      </c>
      <c r="T1" s="182"/>
      <c r="U1" s="182"/>
      <c r="V1" s="181">
        <v>5</v>
      </c>
      <c r="W1" s="182"/>
      <c r="X1" s="101" t="s">
        <v>0</v>
      </c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25.5" customHeight="1">
      <c r="A2" s="11"/>
      <c r="B2" s="12"/>
      <c r="C2" s="194" t="s">
        <v>1</v>
      </c>
      <c r="D2" s="194"/>
      <c r="E2" s="195"/>
      <c r="F2" s="195"/>
      <c r="G2" s="13"/>
      <c r="H2" s="13"/>
      <c r="I2" s="14"/>
      <c r="J2" s="14"/>
      <c r="K2" s="15">
        <f>K1-AW20</f>
        <v>1956880</v>
      </c>
      <c r="L2" s="16"/>
      <c r="M2" s="16"/>
      <c r="N2" s="17" t="str">
        <f>"지급일 : "&amp;TEXT(DATE($S$1,$V$1+1,15),"yyyy년 m월 d일")</f>
        <v>지급일 : 2026년 6월 15일</v>
      </c>
      <c r="AS2" s="18"/>
      <c r="AT2" s="18"/>
      <c r="AV2" s="214" t="s">
        <v>2</v>
      </c>
      <c r="AW2" s="215"/>
      <c r="AX2" s="215"/>
      <c r="AY2" s="215"/>
      <c r="AZ2" s="215"/>
      <c r="BA2" s="216"/>
      <c r="BB2" s="228" t="s">
        <v>3</v>
      </c>
      <c r="BC2" s="215"/>
      <c r="BD2" s="215"/>
      <c r="BE2" s="215"/>
      <c r="BF2" s="215"/>
      <c r="BG2" s="215"/>
      <c r="BH2" s="211" t="s">
        <v>4</v>
      </c>
      <c r="BI2" s="211" t="s">
        <v>5</v>
      </c>
      <c r="BJ2" s="19"/>
    </row>
    <row r="3" spans="1:258" ht="20.100000000000001" customHeight="1">
      <c r="A3" s="160" t="s">
        <v>6</v>
      </c>
      <c r="B3" s="203" t="s">
        <v>7</v>
      </c>
      <c r="C3" s="185" t="s">
        <v>8</v>
      </c>
      <c r="D3" s="183" t="s">
        <v>219</v>
      </c>
      <c r="E3" s="193" t="s">
        <v>9</v>
      </c>
      <c r="F3" s="154" t="s">
        <v>10</v>
      </c>
      <c r="G3" s="189" t="s">
        <v>11</v>
      </c>
      <c r="H3" s="189" t="s">
        <v>12</v>
      </c>
      <c r="I3" s="189" t="s">
        <v>13</v>
      </c>
      <c r="J3" s="189" t="s">
        <v>14</v>
      </c>
      <c r="K3" s="185" t="s">
        <v>15</v>
      </c>
      <c r="L3" s="189" t="s">
        <v>16</v>
      </c>
      <c r="M3" s="189" t="s">
        <v>17</v>
      </c>
      <c r="N3" s="187">
        <f>DATE($S$1,$V$1,1)</f>
        <v>46143</v>
      </c>
      <c r="O3" s="187">
        <f t="shared" ref="O3:AR3" si="0">IF(N3="","",IF(MONTH(N3+1)=$V$1,N3+1,""))</f>
        <v>46144</v>
      </c>
      <c r="P3" s="187">
        <f t="shared" si="0"/>
        <v>46145</v>
      </c>
      <c r="Q3" s="187">
        <f t="shared" si="0"/>
        <v>46146</v>
      </c>
      <c r="R3" s="187">
        <f t="shared" si="0"/>
        <v>46147</v>
      </c>
      <c r="S3" s="187">
        <f t="shared" si="0"/>
        <v>46148</v>
      </c>
      <c r="T3" s="187">
        <f t="shared" si="0"/>
        <v>46149</v>
      </c>
      <c r="U3" s="187">
        <f t="shared" si="0"/>
        <v>46150</v>
      </c>
      <c r="V3" s="187">
        <f t="shared" si="0"/>
        <v>46151</v>
      </c>
      <c r="W3" s="187">
        <f t="shared" si="0"/>
        <v>46152</v>
      </c>
      <c r="X3" s="191">
        <f t="shared" si="0"/>
        <v>46153</v>
      </c>
      <c r="Y3" s="191">
        <f t="shared" si="0"/>
        <v>46154</v>
      </c>
      <c r="Z3" s="187">
        <f t="shared" si="0"/>
        <v>46155</v>
      </c>
      <c r="AA3" s="187">
        <f t="shared" si="0"/>
        <v>46156</v>
      </c>
      <c r="AB3" s="187">
        <f t="shared" si="0"/>
        <v>46157</v>
      </c>
      <c r="AC3" s="187">
        <f t="shared" si="0"/>
        <v>46158</v>
      </c>
      <c r="AD3" s="187">
        <f t="shared" si="0"/>
        <v>46159</v>
      </c>
      <c r="AE3" s="187">
        <f t="shared" si="0"/>
        <v>46160</v>
      </c>
      <c r="AF3" s="187">
        <f t="shared" si="0"/>
        <v>46161</v>
      </c>
      <c r="AG3" s="187">
        <f t="shared" si="0"/>
        <v>46162</v>
      </c>
      <c r="AH3" s="187">
        <f t="shared" si="0"/>
        <v>46163</v>
      </c>
      <c r="AI3" s="187">
        <f t="shared" si="0"/>
        <v>46164</v>
      </c>
      <c r="AJ3" s="187">
        <f t="shared" si="0"/>
        <v>46165</v>
      </c>
      <c r="AK3" s="187">
        <f t="shared" si="0"/>
        <v>46166</v>
      </c>
      <c r="AL3" s="187">
        <f t="shared" si="0"/>
        <v>46167</v>
      </c>
      <c r="AM3" s="187">
        <f t="shared" si="0"/>
        <v>46168</v>
      </c>
      <c r="AN3" s="187">
        <f t="shared" si="0"/>
        <v>46169</v>
      </c>
      <c r="AO3" s="187">
        <f t="shared" si="0"/>
        <v>46170</v>
      </c>
      <c r="AP3" s="187">
        <f t="shared" si="0"/>
        <v>46171</v>
      </c>
      <c r="AQ3" s="187">
        <f t="shared" si="0"/>
        <v>46172</v>
      </c>
      <c r="AR3" s="187">
        <f t="shared" si="0"/>
        <v>46173</v>
      </c>
      <c r="AS3" s="240" t="s">
        <v>18</v>
      </c>
      <c r="AT3" s="227" t="s">
        <v>19</v>
      </c>
      <c r="AU3" s="222" t="s">
        <v>20</v>
      </c>
      <c r="AV3" s="21" t="s">
        <v>21</v>
      </c>
      <c r="AW3" s="22" t="s">
        <v>22</v>
      </c>
      <c r="AX3" s="22" t="s">
        <v>23</v>
      </c>
      <c r="AY3" s="22" t="s">
        <v>24</v>
      </c>
      <c r="AZ3" s="22" t="s">
        <v>25</v>
      </c>
      <c r="BA3" s="229" t="s">
        <v>26</v>
      </c>
      <c r="BB3" s="23" t="s">
        <v>27</v>
      </c>
      <c r="BC3" s="24" t="s">
        <v>28</v>
      </c>
      <c r="BD3" s="24" t="s">
        <v>29</v>
      </c>
      <c r="BE3" s="25" t="s">
        <v>30</v>
      </c>
      <c r="BF3" s="25" t="s">
        <v>31</v>
      </c>
      <c r="BG3" s="222" t="s">
        <v>32</v>
      </c>
      <c r="BH3" s="212"/>
      <c r="BI3" s="212"/>
      <c r="BJ3" s="26"/>
    </row>
    <row r="4" spans="1:258" ht="19.5" customHeight="1">
      <c r="A4" s="197"/>
      <c r="B4" s="190"/>
      <c r="C4" s="196"/>
      <c r="D4" s="184"/>
      <c r="E4" s="190"/>
      <c r="F4" s="196"/>
      <c r="G4" s="190"/>
      <c r="H4" s="190"/>
      <c r="I4" s="190"/>
      <c r="J4" s="190"/>
      <c r="K4" s="196"/>
      <c r="L4" s="190"/>
      <c r="M4" s="190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92"/>
      <c r="Y4" s="192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241"/>
      <c r="AT4" s="188"/>
      <c r="AU4" s="223"/>
      <c r="AV4" s="27" t="s">
        <v>33</v>
      </c>
      <c r="AW4" s="28" t="s">
        <v>34</v>
      </c>
      <c r="AX4" s="28" t="s">
        <v>35</v>
      </c>
      <c r="AY4" s="28" t="s">
        <v>36</v>
      </c>
      <c r="AZ4" s="28" t="s">
        <v>31</v>
      </c>
      <c r="BA4" s="230"/>
      <c r="BB4" s="29" t="s">
        <v>37</v>
      </c>
      <c r="BC4" s="30" t="s">
        <v>38</v>
      </c>
      <c r="BD4" s="30" t="s">
        <v>39</v>
      </c>
      <c r="BE4" s="31" t="s">
        <v>40</v>
      </c>
      <c r="BF4" s="32"/>
      <c r="BG4" s="223"/>
      <c r="BH4" s="213"/>
      <c r="BI4" s="213"/>
      <c r="BJ4" s="26"/>
    </row>
    <row r="5" spans="1:258" ht="20.25" customHeight="1">
      <c r="A5" s="200">
        <v>1</v>
      </c>
      <c r="B5" s="199" t="s">
        <v>41</v>
      </c>
      <c r="C5" s="193" t="s">
        <v>42</v>
      </c>
      <c r="D5" s="185"/>
      <c r="E5" s="193" t="s">
        <v>43</v>
      </c>
      <c r="F5" s="204" t="s">
        <v>44</v>
      </c>
      <c r="G5" s="198"/>
      <c r="H5" s="198"/>
      <c r="I5" s="202" t="s">
        <v>45</v>
      </c>
      <c r="J5" s="205" t="s">
        <v>46</v>
      </c>
      <c r="K5" s="210" t="s">
        <v>47</v>
      </c>
      <c r="L5" s="209" t="s">
        <v>253</v>
      </c>
      <c r="M5" s="20" t="s">
        <v>49</v>
      </c>
      <c r="N5" s="33"/>
      <c r="O5" s="33">
        <v>0.33333333333333331</v>
      </c>
      <c r="P5" s="33">
        <v>0.33333333333333331</v>
      </c>
      <c r="Q5" s="33">
        <v>0.33333333333333331</v>
      </c>
      <c r="R5" s="34"/>
      <c r="S5" s="33">
        <v>0.33333333333333331</v>
      </c>
      <c r="T5" s="33">
        <v>0.33333333333333331</v>
      </c>
      <c r="U5" s="33">
        <v>0.33333333333333331</v>
      </c>
      <c r="V5" s="33">
        <v>0.33333333333333331</v>
      </c>
      <c r="W5" s="33">
        <v>0.33333333333333331</v>
      </c>
      <c r="X5" s="127">
        <v>0.33333333333333331</v>
      </c>
      <c r="Y5" s="33">
        <v>0.33333333333333331</v>
      </c>
      <c r="Z5" s="33">
        <v>0.33333333333333331</v>
      </c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221">
        <f>SUMPRODUCT(--((N5:AR5&lt;&gt;"")+(N6:AR6&lt;&gt;"")&gt;0))</f>
        <v>11</v>
      </c>
      <c r="AT5" s="221" t="str">
        <f>IF(OR(E5="일용",E5="사업"&amp;CHAR(10)&amp;"소득"),"일당",IF(E5="시급","시급",IF(E5="월급","월급","")))</f>
        <v/>
      </c>
      <c r="AU5" s="225"/>
      <c r="AV5" s="35"/>
      <c r="AW5" s="36"/>
      <c r="AX5" s="36"/>
      <c r="AY5" s="36"/>
      <c r="AZ5" s="37"/>
      <c r="BA5" s="219">
        <f>SUM(AV5:AZ6)</f>
        <v>0</v>
      </c>
      <c r="BB5" s="38"/>
      <c r="BC5" s="36"/>
      <c r="BD5" s="36"/>
      <c r="BE5" s="37"/>
      <c r="BF5" s="37"/>
      <c r="BG5" s="231">
        <f>SUM(BB5:BF6)</f>
        <v>0</v>
      </c>
      <c r="BH5" s="224">
        <f>BA5-BG5</f>
        <v>0</v>
      </c>
      <c r="BI5" s="217"/>
      <c r="BJ5" s="19"/>
    </row>
    <row r="6" spans="1:258" ht="20.45" customHeight="1">
      <c r="A6" s="201"/>
      <c r="B6" s="190"/>
      <c r="C6" s="190"/>
      <c r="D6" s="184"/>
      <c r="E6" s="190"/>
      <c r="F6" s="190"/>
      <c r="G6" s="190"/>
      <c r="H6" s="190"/>
      <c r="I6" s="190"/>
      <c r="J6" s="190"/>
      <c r="K6" s="190"/>
      <c r="L6" s="190"/>
      <c r="M6" s="39" t="s">
        <v>50</v>
      </c>
      <c r="N6" s="40"/>
      <c r="O6" s="40">
        <v>0.66666666666666663</v>
      </c>
      <c r="P6" s="40">
        <v>0.64583333333333337</v>
      </c>
      <c r="Q6" s="97">
        <v>0.70833333333333337</v>
      </c>
      <c r="R6" s="40"/>
      <c r="S6" s="40">
        <v>0.70833333333333337</v>
      </c>
      <c r="T6" s="40">
        <v>0.8125</v>
      </c>
      <c r="U6" s="40">
        <v>0.8125</v>
      </c>
      <c r="V6" s="40">
        <v>0.66666666666666663</v>
      </c>
      <c r="W6" s="40">
        <v>0.64583333333333337</v>
      </c>
      <c r="X6" s="128">
        <v>0.91666666666666663</v>
      </c>
      <c r="Y6" s="128">
        <v>0.91666666666666663</v>
      </c>
      <c r="Z6" s="128">
        <v>0.91666666666666663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188"/>
      <c r="AT6" s="188"/>
      <c r="AU6" s="226"/>
      <c r="AV6" s="42"/>
      <c r="AW6" s="43"/>
      <c r="AX6" s="43"/>
      <c r="AY6" s="43"/>
      <c r="AZ6" s="44"/>
      <c r="BA6" s="220"/>
      <c r="BB6" s="45"/>
      <c r="BC6" s="43"/>
      <c r="BD6" s="43"/>
      <c r="BE6" s="44"/>
      <c r="BF6" s="44"/>
      <c r="BG6" s="188"/>
      <c r="BH6" s="223"/>
      <c r="BI6" s="218"/>
      <c r="BJ6" s="19"/>
    </row>
    <row r="7" spans="1:258" ht="20.45" customHeight="1">
      <c r="A7" s="160">
        <f>A5+1</f>
        <v>2</v>
      </c>
      <c r="B7" s="163" t="s">
        <v>51</v>
      </c>
      <c r="C7" s="166" t="s">
        <v>254</v>
      </c>
      <c r="D7" s="150"/>
      <c r="E7" s="169" t="s">
        <v>52</v>
      </c>
      <c r="F7" s="172" t="s">
        <v>53</v>
      </c>
      <c r="G7" s="175">
        <v>45870</v>
      </c>
      <c r="H7" s="178"/>
      <c r="I7" s="152" t="s">
        <v>54</v>
      </c>
      <c r="J7" s="179" t="s">
        <v>55</v>
      </c>
      <c r="K7" s="179" t="s">
        <v>56</v>
      </c>
      <c r="L7" s="154" t="s">
        <v>48</v>
      </c>
      <c r="M7" s="103" t="s">
        <v>49</v>
      </c>
      <c r="N7" s="33"/>
      <c r="O7" s="33">
        <v>0.33333333333333331</v>
      </c>
      <c r="P7" s="33">
        <v>0.33333333333333331</v>
      </c>
      <c r="Q7" s="33">
        <v>0.33333333333333331</v>
      </c>
      <c r="R7" s="34">
        <v>0.33333333333333331</v>
      </c>
      <c r="S7" s="33">
        <v>0.33333333333333331</v>
      </c>
      <c r="T7" s="33">
        <v>0.33333333333333331</v>
      </c>
      <c r="U7" s="33">
        <v>0.33333333333333331</v>
      </c>
      <c r="V7" s="33"/>
      <c r="W7" s="33"/>
      <c r="X7" s="127">
        <v>0.33333333333333331</v>
      </c>
      <c r="Y7" s="33">
        <v>0.33333333333333331</v>
      </c>
      <c r="Z7" s="33">
        <v>0.33333333333333331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157">
        <f>SUMPRODUCT(--((N7:AR7&lt;&gt;"")+(N8:AR8&lt;&gt;"")&gt;0))</f>
        <v>10</v>
      </c>
      <c r="AT7" s="144" t="str">
        <f>IF(OR(E7="일용",E7="사업"&amp;CHAR(10)&amp;"소득"),"일당",IF(E7="시급","시급",IF(E7="월급","월급","")))</f>
        <v>월급</v>
      </c>
      <c r="AU7" s="147">
        <f>ROUNDUP(BA7/209,-1)</f>
        <v>24410</v>
      </c>
      <c r="AV7" s="104">
        <v>4600000</v>
      </c>
      <c r="AW7" s="93">
        <v>200000</v>
      </c>
      <c r="AX7" s="93">
        <v>200000</v>
      </c>
      <c r="AY7" s="93">
        <v>100000</v>
      </c>
      <c r="AZ7" s="105"/>
      <c r="BA7" s="132">
        <f>SUM(AV7:AZ8)</f>
        <v>5100000</v>
      </c>
      <c r="BB7" s="106"/>
      <c r="BC7" s="93"/>
      <c r="BD7" s="93"/>
      <c r="BE7" s="105"/>
      <c r="BF7" s="105"/>
      <c r="BG7" s="135">
        <f>SUM(BB7:BF8)</f>
        <v>0</v>
      </c>
      <c r="BH7" s="138">
        <f>BA7-BG7</f>
        <v>5100000</v>
      </c>
      <c r="BI7" s="141"/>
      <c r="BJ7" s="19"/>
    </row>
    <row r="8" spans="1:258" ht="20.45" customHeight="1">
      <c r="A8" s="161"/>
      <c r="B8" s="164"/>
      <c r="C8" s="167"/>
      <c r="D8" s="151"/>
      <c r="E8" s="170"/>
      <c r="F8" s="173"/>
      <c r="G8" s="176"/>
      <c r="H8" s="153"/>
      <c r="I8" s="153"/>
      <c r="J8" s="153"/>
      <c r="K8" s="153"/>
      <c r="L8" s="155"/>
      <c r="M8" s="107" t="s">
        <v>50</v>
      </c>
      <c r="N8" s="40"/>
      <c r="O8" s="40">
        <v>0.66666666666666663</v>
      </c>
      <c r="P8" s="41">
        <v>0.64583333333333337</v>
      </c>
      <c r="Q8" s="97">
        <v>0.70833333333333337</v>
      </c>
      <c r="R8" s="40">
        <v>0.66666666666666663</v>
      </c>
      <c r="S8" s="40">
        <v>0.70833333333333337</v>
      </c>
      <c r="T8" s="40">
        <v>0.70833333333333337</v>
      </c>
      <c r="U8" s="40">
        <v>0.8125</v>
      </c>
      <c r="V8" s="40"/>
      <c r="W8" s="41"/>
      <c r="X8" s="128">
        <v>0.8125</v>
      </c>
      <c r="Y8" s="128">
        <v>0.8125</v>
      </c>
      <c r="Z8" s="128">
        <v>0.8125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158"/>
      <c r="AT8" s="145"/>
      <c r="AU8" s="148"/>
      <c r="AV8" s="111"/>
      <c r="AW8" s="112"/>
      <c r="AX8" s="112"/>
      <c r="AY8" s="112"/>
      <c r="AZ8" s="113"/>
      <c r="BA8" s="133"/>
      <c r="BB8" s="114"/>
      <c r="BC8" s="112"/>
      <c r="BD8" s="112"/>
      <c r="BE8" s="113"/>
      <c r="BF8" s="113"/>
      <c r="BG8" s="136"/>
      <c r="BH8" s="139"/>
      <c r="BI8" s="142"/>
      <c r="BJ8" s="19"/>
    </row>
    <row r="9" spans="1:258" ht="20.45" customHeight="1">
      <c r="A9" s="162"/>
      <c r="B9" s="165"/>
      <c r="C9" s="168"/>
      <c r="D9" s="116"/>
      <c r="E9" s="171"/>
      <c r="F9" s="174"/>
      <c r="G9" s="177"/>
      <c r="H9" s="115"/>
      <c r="I9" s="115"/>
      <c r="J9" s="115"/>
      <c r="K9" s="115"/>
      <c r="L9" s="156"/>
      <c r="M9" s="121" t="s">
        <v>216</v>
      </c>
      <c r="N9" s="122"/>
      <c r="O9" s="125"/>
      <c r="P9" s="122"/>
      <c r="Q9" s="123"/>
      <c r="R9" s="122"/>
      <c r="S9" s="122"/>
      <c r="T9" s="122"/>
      <c r="U9" s="122"/>
      <c r="V9" s="122"/>
      <c r="W9" s="124"/>
      <c r="X9" s="129"/>
      <c r="Y9" s="129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59"/>
      <c r="AT9" s="146"/>
      <c r="AU9" s="149"/>
      <c r="AV9" s="117"/>
      <c r="AW9" s="118"/>
      <c r="AX9" s="118"/>
      <c r="AY9" s="118"/>
      <c r="AZ9" s="119"/>
      <c r="BA9" s="134"/>
      <c r="BB9" s="120"/>
      <c r="BC9" s="118"/>
      <c r="BD9" s="118"/>
      <c r="BE9" s="119"/>
      <c r="BF9" s="119"/>
      <c r="BG9" s="137"/>
      <c r="BH9" s="140"/>
      <c r="BI9" s="143"/>
      <c r="BJ9" s="19"/>
    </row>
    <row r="10" spans="1:258" ht="20.45" customHeight="1">
      <c r="A10" s="200">
        <f>A7+1</f>
        <v>3</v>
      </c>
      <c r="B10" s="199" t="s">
        <v>57</v>
      </c>
      <c r="C10" s="245" t="s">
        <v>58</v>
      </c>
      <c r="D10" s="185"/>
      <c r="E10" s="193" t="s">
        <v>52</v>
      </c>
      <c r="F10" s="246" t="s">
        <v>59</v>
      </c>
      <c r="G10" s="198">
        <v>45870</v>
      </c>
      <c r="H10" s="198"/>
      <c r="I10" s="202" t="s">
        <v>60</v>
      </c>
      <c r="J10" s="205" t="s">
        <v>61</v>
      </c>
      <c r="K10" s="208" t="s">
        <v>62</v>
      </c>
      <c r="L10" s="189" t="s">
        <v>48</v>
      </c>
      <c r="M10" s="20" t="s">
        <v>49</v>
      </c>
      <c r="N10" s="33"/>
      <c r="O10" s="33"/>
      <c r="P10" s="33"/>
      <c r="Q10" s="33">
        <v>0.33333333333333331</v>
      </c>
      <c r="R10" s="34"/>
      <c r="S10" s="33">
        <v>0.33333333333333331</v>
      </c>
      <c r="T10" s="33">
        <v>0.33333333333333331</v>
      </c>
      <c r="U10" s="33">
        <v>0.33333333333333331</v>
      </c>
      <c r="V10" s="33"/>
      <c r="W10" s="33"/>
      <c r="X10" s="127">
        <v>0.33333333333333331</v>
      </c>
      <c r="Y10" s="33">
        <v>0.33333333333333331</v>
      </c>
      <c r="Z10" s="33">
        <v>0.33333333333333331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221">
        <f>SUMPRODUCT(--((N10:AR10&lt;&gt;"")+(N11:AR11&lt;&gt;"")&gt;0))</f>
        <v>7</v>
      </c>
      <c r="AT10" s="242" t="str">
        <f>IF(OR(E10="일용",E10="사업"&amp;CHAR(10)&amp;"소득"),"일당",IF(E10="시급","시급",IF(E10="월급","월급","")))</f>
        <v>월급</v>
      </c>
      <c r="AU10" s="225">
        <f>ROUNDUP(BA10/209,-1)</f>
        <v>19140</v>
      </c>
      <c r="AV10" s="35">
        <v>3800000</v>
      </c>
      <c r="AW10" s="36">
        <v>200000</v>
      </c>
      <c r="AX10" s="36"/>
      <c r="AY10" s="36"/>
      <c r="AZ10" s="37"/>
      <c r="BA10" s="219">
        <f>SUM(AV10:AZ11)</f>
        <v>4000000</v>
      </c>
      <c r="BB10" s="38"/>
      <c r="BC10" s="36"/>
      <c r="BD10" s="36"/>
      <c r="BE10" s="37"/>
      <c r="BF10" s="37"/>
      <c r="BG10" s="231">
        <f>SUM(BB10:BF11)</f>
        <v>0</v>
      </c>
      <c r="BH10" s="224">
        <f>BA10-BG10</f>
        <v>4000000</v>
      </c>
      <c r="BI10" s="217"/>
      <c r="BJ10" s="19"/>
    </row>
    <row r="11" spans="1:258" ht="20.45" customHeight="1">
      <c r="A11" s="201"/>
      <c r="B11" s="190"/>
      <c r="C11" s="190"/>
      <c r="D11" s="184"/>
      <c r="E11" s="190"/>
      <c r="F11" s="190"/>
      <c r="G11" s="190"/>
      <c r="H11" s="190"/>
      <c r="I11" s="190"/>
      <c r="J11" s="190"/>
      <c r="K11" s="190"/>
      <c r="L11" s="190"/>
      <c r="M11" s="39" t="s">
        <v>50</v>
      </c>
      <c r="N11" s="40"/>
      <c r="O11" s="40"/>
      <c r="P11" s="40"/>
      <c r="Q11" s="97">
        <v>0.70833333333333337</v>
      </c>
      <c r="R11" s="40"/>
      <c r="S11" s="40">
        <v>0.70833333333333337</v>
      </c>
      <c r="T11" s="40">
        <v>0.70833333333333337</v>
      </c>
      <c r="U11" s="40">
        <v>0.70833333333333337</v>
      </c>
      <c r="V11" s="40"/>
      <c r="W11" s="41"/>
      <c r="X11" s="128">
        <v>0.70833333333333337</v>
      </c>
      <c r="Y11" s="40">
        <v>0.70833333333333337</v>
      </c>
      <c r="Z11" s="40">
        <v>0.70833333333333337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188"/>
      <c r="AT11" s="188"/>
      <c r="AU11" s="226"/>
      <c r="AV11" s="42"/>
      <c r="AW11" s="43"/>
      <c r="AX11" s="43"/>
      <c r="AY11" s="43"/>
      <c r="AZ11" s="44"/>
      <c r="BA11" s="220"/>
      <c r="BB11" s="45"/>
      <c r="BC11" s="43"/>
      <c r="BD11" s="43"/>
      <c r="BE11" s="44"/>
      <c r="BF11" s="44"/>
      <c r="BG11" s="188"/>
      <c r="BH11" s="223"/>
      <c r="BI11" s="218"/>
      <c r="BJ11" s="19"/>
    </row>
    <row r="12" spans="1:258" ht="20.45" customHeight="1">
      <c r="A12" s="200">
        <f>A10+1</f>
        <v>4</v>
      </c>
      <c r="B12" s="199" t="s">
        <v>63</v>
      </c>
      <c r="C12" s="193" t="s">
        <v>64</v>
      </c>
      <c r="D12" s="185"/>
      <c r="E12" s="193" t="s">
        <v>52</v>
      </c>
      <c r="F12" s="247" t="s">
        <v>65</v>
      </c>
      <c r="G12" s="198">
        <v>45870</v>
      </c>
      <c r="H12" s="198"/>
      <c r="I12" s="202" t="s">
        <v>66</v>
      </c>
      <c r="J12" s="205" t="s">
        <v>67</v>
      </c>
      <c r="K12" s="208" t="s">
        <v>62</v>
      </c>
      <c r="L12" s="189" t="s">
        <v>48</v>
      </c>
      <c r="M12" s="20" t="s">
        <v>49</v>
      </c>
      <c r="N12" s="33"/>
      <c r="O12" s="33"/>
      <c r="P12" s="33"/>
      <c r="Q12" s="33">
        <v>0.33333333333333331</v>
      </c>
      <c r="R12" s="34"/>
      <c r="S12" s="33">
        <v>0.33333333333333331</v>
      </c>
      <c r="T12" s="33">
        <v>0.33333333333333331</v>
      </c>
      <c r="U12" s="33">
        <v>0.33333333333333331</v>
      </c>
      <c r="V12" s="33"/>
      <c r="W12" s="33"/>
      <c r="X12" s="127">
        <v>0.33333333333333331</v>
      </c>
      <c r="Y12" s="33">
        <v>0.33333333333333331</v>
      </c>
      <c r="Z12" s="33">
        <v>0.33333333333333331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221">
        <f>SUMPRODUCT(--((N12:AR12&lt;&gt;"")+(N13:AR13&lt;&gt;"")&gt;0))</f>
        <v>7</v>
      </c>
      <c r="AT12" s="242" t="str">
        <f>IF(OR(E12="일용",E12="사업"&amp;CHAR(10)&amp;"소득"),"일당",IF(E12="시급","시급",IF(E12="월급","월급","")))</f>
        <v>월급</v>
      </c>
      <c r="AU12" s="225">
        <f>ROUNDUP(BA12/209,-1)</f>
        <v>14360</v>
      </c>
      <c r="AV12" s="35">
        <v>2800000</v>
      </c>
      <c r="AW12" s="36">
        <v>200000</v>
      </c>
      <c r="AX12" s="36"/>
      <c r="AY12" s="36"/>
      <c r="AZ12" s="37"/>
      <c r="BA12" s="219">
        <f>SUM(AV12:AZ13)</f>
        <v>3000000</v>
      </c>
      <c r="BB12" s="38"/>
      <c r="BC12" s="36"/>
      <c r="BD12" s="36"/>
      <c r="BE12" s="37"/>
      <c r="BF12" s="37"/>
      <c r="BG12" s="231">
        <f>SUM(BB12:BF13)</f>
        <v>0</v>
      </c>
      <c r="BH12" s="224">
        <f>BA12-BG12</f>
        <v>3000000</v>
      </c>
      <c r="BI12" s="217"/>
      <c r="BJ12" s="19"/>
    </row>
    <row r="13" spans="1:258" ht="20.45" customHeight="1">
      <c r="A13" s="201"/>
      <c r="B13" s="190"/>
      <c r="C13" s="190"/>
      <c r="D13" s="184"/>
      <c r="E13" s="190"/>
      <c r="F13" s="190"/>
      <c r="G13" s="190"/>
      <c r="H13" s="190"/>
      <c r="I13" s="190"/>
      <c r="J13" s="190"/>
      <c r="K13" s="190"/>
      <c r="L13" s="190"/>
      <c r="M13" s="39" t="s">
        <v>50</v>
      </c>
      <c r="N13" s="40"/>
      <c r="O13" s="40"/>
      <c r="P13" s="40"/>
      <c r="Q13" s="97">
        <v>0.70833333333333337</v>
      </c>
      <c r="R13" s="40"/>
      <c r="S13" s="40">
        <v>0.70833333333333337</v>
      </c>
      <c r="T13" s="40">
        <v>0.70833333333333337</v>
      </c>
      <c r="U13" s="40">
        <v>0.70833333333333337</v>
      </c>
      <c r="V13" s="40"/>
      <c r="W13" s="41"/>
      <c r="X13" s="128">
        <v>0.70833333333333337</v>
      </c>
      <c r="Y13" s="40">
        <v>0.70833333333333337</v>
      </c>
      <c r="Z13" s="40">
        <v>0.70833333333333337</v>
      </c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188"/>
      <c r="AT13" s="188"/>
      <c r="AU13" s="226"/>
      <c r="AV13" s="42"/>
      <c r="AW13" s="43"/>
      <c r="AX13" s="43"/>
      <c r="AY13" s="43"/>
      <c r="AZ13" s="44"/>
      <c r="BA13" s="220"/>
      <c r="BB13" s="45"/>
      <c r="BC13" s="43"/>
      <c r="BD13" s="43"/>
      <c r="BE13" s="44"/>
      <c r="BF13" s="44"/>
      <c r="BG13" s="188"/>
      <c r="BH13" s="223"/>
      <c r="BI13" s="218"/>
      <c r="BJ13" s="19"/>
    </row>
    <row r="14" spans="1:258" ht="20.45" customHeight="1">
      <c r="A14" s="160">
        <f>A12+1</f>
        <v>5</v>
      </c>
      <c r="B14" s="163" t="s">
        <v>68</v>
      </c>
      <c r="C14" s="166" t="s">
        <v>247</v>
      </c>
      <c r="D14" s="150"/>
      <c r="E14" s="169" t="s">
        <v>69</v>
      </c>
      <c r="F14" s="172" t="s">
        <v>70</v>
      </c>
      <c r="G14" s="175">
        <v>45870</v>
      </c>
      <c r="H14" s="178"/>
      <c r="I14" s="152" t="s">
        <v>71</v>
      </c>
      <c r="J14" s="179" t="s">
        <v>72</v>
      </c>
      <c r="K14" s="179" t="s">
        <v>73</v>
      </c>
      <c r="L14" s="154" t="s">
        <v>74</v>
      </c>
      <c r="M14" s="103" t="s">
        <v>49</v>
      </c>
      <c r="N14" s="33"/>
      <c r="O14" s="33">
        <v>0.33333333333333331</v>
      </c>
      <c r="P14" s="33">
        <v>0.33333333333333331</v>
      </c>
      <c r="Q14" s="33">
        <v>0.33333333333333331</v>
      </c>
      <c r="R14" s="34">
        <v>0.33333333333333331</v>
      </c>
      <c r="S14" s="33">
        <v>0.33333333333333331</v>
      </c>
      <c r="T14" s="33">
        <v>0.33333333333333331</v>
      </c>
      <c r="U14" s="33">
        <v>0.33333333333333331</v>
      </c>
      <c r="V14" s="33">
        <v>0.33333333333333331</v>
      </c>
      <c r="W14" s="33">
        <v>0.33333333333333331</v>
      </c>
      <c r="X14" s="127">
        <v>0.33333333333333331</v>
      </c>
      <c r="Y14" s="33">
        <v>0.33333333333333331</v>
      </c>
      <c r="Z14" s="33">
        <v>0.33333333333333331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157">
        <f>SUMPRODUCT(--((N14:AR14&lt;&gt;"")+(N15:AR15&lt;&gt;"")&gt;0))</f>
        <v>12</v>
      </c>
      <c r="AT14" s="144" t="str">
        <f>IF(OR(E14="일용",E14="사업"&amp;CHAR(10)&amp;"소득"),"일당",IF(E14="시급","시급",IF(E14="월급","월급","")))</f>
        <v>일당</v>
      </c>
      <c r="AU14" s="147">
        <v>160000</v>
      </c>
      <c r="AV14" s="104"/>
      <c r="AW14" s="93">
        <v>200000</v>
      </c>
      <c r="AX14" s="93">
        <v>200000</v>
      </c>
      <c r="AY14" s="93"/>
      <c r="AZ14" s="105"/>
      <c r="BA14" s="132">
        <f>SUM(AV14:AZ15)</f>
        <v>400000</v>
      </c>
      <c r="BB14" s="106"/>
      <c r="BC14" s="93"/>
      <c r="BD14" s="93"/>
      <c r="BE14" s="105"/>
      <c r="BF14" s="105"/>
      <c r="BG14" s="135">
        <f>SUM(BB14:BF15)</f>
        <v>0</v>
      </c>
      <c r="BH14" s="138">
        <f>BA14-BG14</f>
        <v>400000</v>
      </c>
      <c r="BI14" s="141"/>
      <c r="BJ14" s="19"/>
    </row>
    <row r="15" spans="1:258" ht="20.45" customHeight="1">
      <c r="A15" s="161"/>
      <c r="B15" s="164"/>
      <c r="C15" s="167"/>
      <c r="D15" s="151"/>
      <c r="E15" s="170"/>
      <c r="F15" s="173"/>
      <c r="G15" s="176"/>
      <c r="H15" s="153"/>
      <c r="I15" s="153"/>
      <c r="J15" s="153"/>
      <c r="K15" s="153"/>
      <c r="L15" s="155"/>
      <c r="M15" s="107" t="s">
        <v>50</v>
      </c>
      <c r="N15" s="108"/>
      <c r="O15" s="108">
        <v>0.66666666666666663</v>
      </c>
      <c r="P15" s="108">
        <v>0.64583333333333337</v>
      </c>
      <c r="Q15" s="109">
        <v>0.70833333333333337</v>
      </c>
      <c r="R15" s="108">
        <v>0.66666666666666663</v>
      </c>
      <c r="S15" s="40">
        <v>0.70833333333333337</v>
      </c>
      <c r="T15" s="40">
        <v>0.8125</v>
      </c>
      <c r="U15" s="40">
        <v>0.70833333333333337</v>
      </c>
      <c r="V15" s="40">
        <v>0.66666666666666663</v>
      </c>
      <c r="W15" s="40">
        <v>0.64583333333333337</v>
      </c>
      <c r="X15" s="128">
        <v>0.8125</v>
      </c>
      <c r="Y15" s="128">
        <v>0.8125</v>
      </c>
      <c r="Z15" s="128">
        <v>0.8125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58"/>
      <c r="AT15" s="145"/>
      <c r="AU15" s="148"/>
      <c r="AV15" s="111"/>
      <c r="AW15" s="112"/>
      <c r="AX15" s="112"/>
      <c r="AY15" s="112"/>
      <c r="AZ15" s="113"/>
      <c r="BA15" s="133"/>
      <c r="BB15" s="114"/>
      <c r="BC15" s="112"/>
      <c r="BD15" s="112"/>
      <c r="BE15" s="113"/>
      <c r="BF15" s="113"/>
      <c r="BG15" s="136"/>
      <c r="BH15" s="139"/>
      <c r="BI15" s="142"/>
      <c r="BJ15" s="19"/>
    </row>
    <row r="16" spans="1:258" ht="20.45" customHeight="1">
      <c r="A16" s="162"/>
      <c r="B16" s="165"/>
      <c r="C16" s="168"/>
      <c r="D16" s="116"/>
      <c r="E16" s="171"/>
      <c r="F16" s="174"/>
      <c r="G16" s="177"/>
      <c r="H16" s="115"/>
      <c r="I16" s="115"/>
      <c r="J16" s="115"/>
      <c r="K16" s="115"/>
      <c r="L16" s="156"/>
      <c r="M16" s="121" t="s">
        <v>241</v>
      </c>
      <c r="N16" s="122"/>
      <c r="O16" s="122">
        <v>1</v>
      </c>
      <c r="P16" s="122">
        <v>1</v>
      </c>
      <c r="Q16" s="123">
        <v>1</v>
      </c>
      <c r="R16" s="122">
        <v>1</v>
      </c>
      <c r="S16" s="122">
        <v>1</v>
      </c>
      <c r="T16" s="122">
        <v>1.5</v>
      </c>
      <c r="U16" s="122"/>
      <c r="V16" s="122"/>
      <c r="W16" s="124"/>
      <c r="X16" s="129"/>
      <c r="Y16" s="129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59"/>
      <c r="AT16" s="146"/>
      <c r="AU16" s="149"/>
      <c r="AV16" s="117"/>
      <c r="AW16" s="118"/>
      <c r="AX16" s="118"/>
      <c r="AY16" s="118"/>
      <c r="AZ16" s="119"/>
      <c r="BA16" s="134"/>
      <c r="BB16" s="120"/>
      <c r="BC16" s="118"/>
      <c r="BD16" s="118"/>
      <c r="BE16" s="119"/>
      <c r="BF16" s="119"/>
      <c r="BG16" s="137"/>
      <c r="BH16" s="140"/>
      <c r="BI16" s="143"/>
      <c r="BJ16" s="19"/>
    </row>
    <row r="17" spans="1:62" ht="20.45" customHeight="1">
      <c r="A17" s="160">
        <f>A14+1</f>
        <v>6</v>
      </c>
      <c r="B17" s="163" t="s">
        <v>75</v>
      </c>
      <c r="C17" s="166" t="s">
        <v>220</v>
      </c>
      <c r="D17" s="150" t="s">
        <v>221</v>
      </c>
      <c r="E17" s="169" t="s">
        <v>69</v>
      </c>
      <c r="F17" s="172" t="s">
        <v>76</v>
      </c>
      <c r="G17" s="175"/>
      <c r="H17" s="178"/>
      <c r="I17" s="152" t="s">
        <v>77</v>
      </c>
      <c r="J17" s="179" t="s">
        <v>78</v>
      </c>
      <c r="K17" s="179" t="s">
        <v>79</v>
      </c>
      <c r="L17" s="154" t="s">
        <v>80</v>
      </c>
      <c r="M17" s="103" t="s">
        <v>49</v>
      </c>
      <c r="N17" s="33"/>
      <c r="O17" s="33">
        <v>0.33333333333333331</v>
      </c>
      <c r="P17" s="33">
        <v>0.33333333333333331</v>
      </c>
      <c r="Q17" s="33">
        <v>0.33333333333333331</v>
      </c>
      <c r="R17" s="34">
        <v>0.33333333333333331</v>
      </c>
      <c r="S17" s="33">
        <v>0.33333333333333331</v>
      </c>
      <c r="T17" s="33">
        <v>0.33333333333333331</v>
      </c>
      <c r="U17" s="33">
        <v>0.33333333333333331</v>
      </c>
      <c r="V17" s="33">
        <v>0.33333333333333331</v>
      </c>
      <c r="W17" s="33"/>
      <c r="X17" s="127">
        <v>0.33333333333333331</v>
      </c>
      <c r="Y17" s="33">
        <v>0.33333333333333331</v>
      </c>
      <c r="Z17" s="33">
        <v>0.33333333333333331</v>
      </c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157">
        <f>SUMPRODUCT(--((N17:AR17&lt;&gt;"")+(N18:AR18&lt;&gt;"")&gt;0))</f>
        <v>11</v>
      </c>
      <c r="AT17" s="144" t="str">
        <f>IF(OR(E17="일용",E17="사업"&amp;CHAR(10)&amp;"소득"),"일당",IF(E17="시급","시급",IF(E17="월급","월급","")))</f>
        <v>일당</v>
      </c>
      <c r="AU17" s="147">
        <v>130000</v>
      </c>
      <c r="AV17" s="104"/>
      <c r="AW17" s="93">
        <v>200000</v>
      </c>
      <c r="AX17" s="93">
        <v>200000</v>
      </c>
      <c r="AY17" s="93"/>
      <c r="AZ17" s="105"/>
      <c r="BA17" s="132">
        <f>SUM(AV17:AZ18)</f>
        <v>400000</v>
      </c>
      <c r="BB17" s="106"/>
      <c r="BC17" s="93"/>
      <c r="BD17" s="93"/>
      <c r="BE17" s="105">
        <v>100000</v>
      </c>
      <c r="BF17" s="105"/>
      <c r="BG17" s="135">
        <f>SUM(BB17:BF18)</f>
        <v>100000</v>
      </c>
      <c r="BH17" s="138">
        <f>BA17-BG17</f>
        <v>300000</v>
      </c>
      <c r="BI17" s="141"/>
      <c r="BJ17" s="46"/>
    </row>
    <row r="18" spans="1:62" ht="20.45" customHeight="1">
      <c r="A18" s="161"/>
      <c r="B18" s="164"/>
      <c r="C18" s="167"/>
      <c r="D18" s="151"/>
      <c r="E18" s="170"/>
      <c r="F18" s="173"/>
      <c r="G18" s="176"/>
      <c r="H18" s="153"/>
      <c r="I18" s="153"/>
      <c r="J18" s="153"/>
      <c r="K18" s="153"/>
      <c r="L18" s="155"/>
      <c r="M18" s="107" t="s">
        <v>50</v>
      </c>
      <c r="N18" s="108"/>
      <c r="O18" s="108">
        <v>0.66666666666666663</v>
      </c>
      <c r="P18" s="108">
        <v>0.64583333333333337</v>
      </c>
      <c r="Q18" s="109">
        <v>0.70833333333333337</v>
      </c>
      <c r="R18" s="108">
        <v>0.66666666666666663</v>
      </c>
      <c r="S18" s="40">
        <v>0.70833333333333337</v>
      </c>
      <c r="T18" s="40">
        <v>0.70833333333333337</v>
      </c>
      <c r="U18" s="40">
        <v>0.8125</v>
      </c>
      <c r="V18" s="40">
        <v>0.66666666666666663</v>
      </c>
      <c r="W18" s="110"/>
      <c r="X18" s="128">
        <v>0.8125</v>
      </c>
      <c r="Y18" s="128">
        <v>0.8125</v>
      </c>
      <c r="Z18" s="128">
        <v>0.91666666666666663</v>
      </c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58"/>
      <c r="AT18" s="145"/>
      <c r="AU18" s="148"/>
      <c r="AV18" s="111"/>
      <c r="AW18" s="112"/>
      <c r="AX18" s="112"/>
      <c r="AY18" s="112"/>
      <c r="AZ18" s="113"/>
      <c r="BA18" s="133"/>
      <c r="BB18" s="114"/>
      <c r="BC18" s="112"/>
      <c r="BD18" s="112"/>
      <c r="BE18" s="113"/>
      <c r="BF18" s="113"/>
      <c r="BG18" s="136"/>
      <c r="BH18" s="139"/>
      <c r="BI18" s="142"/>
      <c r="BJ18" s="19"/>
    </row>
    <row r="19" spans="1:62" ht="20.45" customHeight="1">
      <c r="A19" s="162"/>
      <c r="B19" s="165"/>
      <c r="C19" s="168"/>
      <c r="D19" s="116"/>
      <c r="E19" s="171"/>
      <c r="F19" s="174"/>
      <c r="G19" s="177"/>
      <c r="H19" s="115"/>
      <c r="I19" s="115"/>
      <c r="J19" s="115"/>
      <c r="K19" s="115"/>
      <c r="L19" s="156"/>
      <c r="M19" s="121" t="s">
        <v>241</v>
      </c>
      <c r="N19" s="122"/>
      <c r="O19" s="122">
        <v>1</v>
      </c>
      <c r="P19" s="122">
        <v>1</v>
      </c>
      <c r="Q19" s="123">
        <v>1</v>
      </c>
      <c r="R19" s="122">
        <v>1</v>
      </c>
      <c r="S19" s="122">
        <v>1</v>
      </c>
      <c r="T19" s="122">
        <v>1</v>
      </c>
      <c r="U19" s="122"/>
      <c r="V19" s="122"/>
      <c r="W19" s="124"/>
      <c r="X19" s="129"/>
      <c r="Y19" s="129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59"/>
      <c r="AT19" s="146"/>
      <c r="AU19" s="149"/>
      <c r="AV19" s="117"/>
      <c r="AW19" s="118"/>
      <c r="AX19" s="118"/>
      <c r="AY19" s="118"/>
      <c r="AZ19" s="119"/>
      <c r="BA19" s="134"/>
      <c r="BB19" s="120"/>
      <c r="BC19" s="118"/>
      <c r="BD19" s="118"/>
      <c r="BE19" s="119"/>
      <c r="BF19" s="119"/>
      <c r="BG19" s="137"/>
      <c r="BH19" s="140"/>
      <c r="BI19" s="143"/>
      <c r="BJ19" s="19"/>
    </row>
    <row r="20" spans="1:62" ht="20.45" customHeight="1">
      <c r="A20" s="160">
        <f>A17+1</f>
        <v>7</v>
      </c>
      <c r="B20" s="163" t="s">
        <v>81</v>
      </c>
      <c r="C20" s="166" t="s">
        <v>222</v>
      </c>
      <c r="D20" s="150" t="s">
        <v>223</v>
      </c>
      <c r="E20" s="169" t="s">
        <v>82</v>
      </c>
      <c r="F20" s="172" t="s">
        <v>83</v>
      </c>
      <c r="G20" s="175"/>
      <c r="H20" s="178"/>
      <c r="I20" s="152"/>
      <c r="J20" s="179" t="s">
        <v>84</v>
      </c>
      <c r="K20" s="179" t="s">
        <v>85</v>
      </c>
      <c r="L20" s="154" t="s">
        <v>86</v>
      </c>
      <c r="M20" s="103" t="s">
        <v>49</v>
      </c>
      <c r="N20" s="33"/>
      <c r="O20" s="33">
        <v>0.33333333333333331</v>
      </c>
      <c r="P20" s="33">
        <v>0.33333333333333331</v>
      </c>
      <c r="Q20" s="33">
        <v>0.33333333333333331</v>
      </c>
      <c r="R20" s="34">
        <v>0.33333333333333331</v>
      </c>
      <c r="S20" s="33">
        <v>0.33333333333333331</v>
      </c>
      <c r="T20" s="33">
        <v>0.33333333333333331</v>
      </c>
      <c r="U20" s="33">
        <v>0.33333333333333331</v>
      </c>
      <c r="V20" s="33">
        <v>0.33333333333333331</v>
      </c>
      <c r="W20" s="33">
        <v>0.33333333333333331</v>
      </c>
      <c r="X20" s="127">
        <v>0.33333333333333331</v>
      </c>
      <c r="Y20" s="33">
        <v>0.33333333333333331</v>
      </c>
      <c r="Z20" s="33">
        <v>0.33333333333333331</v>
      </c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157">
        <f>SUMPRODUCT(--((N20:AR20&lt;&gt;"")+(N21:AR21&lt;&gt;"")&gt;0))</f>
        <v>12</v>
      </c>
      <c r="AT20" s="144" t="str">
        <f>IF(OR(E20="일용",E20="사업"&amp;CHAR(10)&amp;"소득"),"일당",IF(E20="시급","시급",IF(E20="월급","월급","")))</f>
        <v>시급</v>
      </c>
      <c r="AU20" s="147">
        <v>10320</v>
      </c>
      <c r="AV20" s="104">
        <v>1956880</v>
      </c>
      <c r="AW20" s="93">
        <v>200000</v>
      </c>
      <c r="AX20" s="93"/>
      <c r="AY20" s="93"/>
      <c r="AZ20" s="105"/>
      <c r="BA20" s="132">
        <f>SUM(AV20:AZ21)</f>
        <v>2156880</v>
      </c>
      <c r="BB20" s="106"/>
      <c r="BC20" s="93"/>
      <c r="BD20" s="93"/>
      <c r="BE20" s="105">
        <v>100000</v>
      </c>
      <c r="BF20" s="105"/>
      <c r="BG20" s="135">
        <f>SUM(BB20:BF21)</f>
        <v>100000</v>
      </c>
      <c r="BH20" s="138">
        <f>BA20-BG20</f>
        <v>2056880</v>
      </c>
      <c r="BI20" s="141"/>
      <c r="BJ20" s="46"/>
    </row>
    <row r="21" spans="1:62" ht="20.45" customHeight="1">
      <c r="A21" s="161"/>
      <c r="B21" s="164"/>
      <c r="C21" s="167"/>
      <c r="D21" s="151"/>
      <c r="E21" s="170"/>
      <c r="F21" s="173"/>
      <c r="G21" s="176"/>
      <c r="H21" s="153"/>
      <c r="I21" s="153"/>
      <c r="J21" s="153"/>
      <c r="K21" s="153"/>
      <c r="L21" s="155"/>
      <c r="M21" s="107" t="s">
        <v>50</v>
      </c>
      <c r="N21" s="40"/>
      <c r="O21" s="40">
        <v>0.66666666666666663</v>
      </c>
      <c r="P21" s="41">
        <v>0.64583333333333337</v>
      </c>
      <c r="Q21" s="97">
        <v>0.70833333333333337</v>
      </c>
      <c r="R21" s="40">
        <v>0.66666666666666663</v>
      </c>
      <c r="S21" s="40">
        <v>0.70833333333333337</v>
      </c>
      <c r="T21" s="40">
        <v>0.70833333333333337</v>
      </c>
      <c r="U21" s="40">
        <v>0.8125</v>
      </c>
      <c r="V21" s="40">
        <v>0.66666666666666663</v>
      </c>
      <c r="W21" s="40">
        <v>0.64583333333333337</v>
      </c>
      <c r="X21" s="128">
        <v>0.8125</v>
      </c>
      <c r="Y21" s="128">
        <v>0.8125</v>
      </c>
      <c r="Z21" s="128">
        <v>0.91666666666666663</v>
      </c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158"/>
      <c r="AT21" s="145"/>
      <c r="AU21" s="148"/>
      <c r="AV21" s="111"/>
      <c r="AW21" s="112"/>
      <c r="AX21" s="112"/>
      <c r="AY21" s="112"/>
      <c r="AZ21" s="113"/>
      <c r="BA21" s="133"/>
      <c r="BB21" s="114"/>
      <c r="BC21" s="112"/>
      <c r="BD21" s="112"/>
      <c r="BE21" s="113"/>
      <c r="BF21" s="113"/>
      <c r="BG21" s="136"/>
      <c r="BH21" s="139"/>
      <c r="BI21" s="142"/>
      <c r="BJ21" s="19"/>
    </row>
    <row r="22" spans="1:62" ht="20.45" customHeight="1">
      <c r="A22" s="162"/>
      <c r="B22" s="165"/>
      <c r="C22" s="168"/>
      <c r="D22" s="116"/>
      <c r="E22" s="171"/>
      <c r="F22" s="174"/>
      <c r="G22" s="177"/>
      <c r="H22" s="115"/>
      <c r="I22" s="115"/>
      <c r="J22" s="115"/>
      <c r="K22" s="115"/>
      <c r="L22" s="156"/>
      <c r="M22" s="121" t="s">
        <v>216</v>
      </c>
      <c r="N22" s="122"/>
      <c r="O22" s="125"/>
      <c r="P22" s="122"/>
      <c r="Q22" s="123"/>
      <c r="R22" s="122"/>
      <c r="S22" s="122"/>
      <c r="T22" s="122"/>
      <c r="U22" s="122"/>
      <c r="V22" s="122"/>
      <c r="W22" s="124"/>
      <c r="X22" s="129"/>
      <c r="Y22" s="129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59"/>
      <c r="AT22" s="146"/>
      <c r="AU22" s="149"/>
      <c r="AV22" s="117"/>
      <c r="AW22" s="118"/>
      <c r="AX22" s="118"/>
      <c r="AY22" s="118"/>
      <c r="AZ22" s="119"/>
      <c r="BA22" s="134"/>
      <c r="BB22" s="120"/>
      <c r="BC22" s="118"/>
      <c r="BD22" s="118"/>
      <c r="BE22" s="119"/>
      <c r="BF22" s="119"/>
      <c r="BG22" s="137"/>
      <c r="BH22" s="140"/>
      <c r="BI22" s="143"/>
      <c r="BJ22" s="19"/>
    </row>
    <row r="23" spans="1:62" ht="20.45" customHeight="1">
      <c r="A23" s="160">
        <f>A20+1</f>
        <v>8</v>
      </c>
      <c r="B23" s="163" t="s">
        <v>87</v>
      </c>
      <c r="C23" s="166" t="s">
        <v>224</v>
      </c>
      <c r="D23" s="150" t="s">
        <v>225</v>
      </c>
      <c r="E23" s="169" t="s">
        <v>82</v>
      </c>
      <c r="F23" s="172" t="s">
        <v>88</v>
      </c>
      <c r="G23" s="175"/>
      <c r="H23" s="178"/>
      <c r="I23" s="152"/>
      <c r="J23" s="179" t="s">
        <v>89</v>
      </c>
      <c r="K23" s="179" t="s">
        <v>90</v>
      </c>
      <c r="L23" s="154" t="s">
        <v>86</v>
      </c>
      <c r="M23" s="103" t="s">
        <v>49</v>
      </c>
      <c r="N23" s="33"/>
      <c r="O23" s="33">
        <v>0.33333333333333331</v>
      </c>
      <c r="P23" s="33">
        <v>0.33333333333333331</v>
      </c>
      <c r="Q23" s="33">
        <v>0.33333333333333331</v>
      </c>
      <c r="R23" s="34">
        <v>0.33333333333333331</v>
      </c>
      <c r="S23" s="33">
        <v>0.33333333333333331</v>
      </c>
      <c r="T23" s="33">
        <v>0.33333333333333331</v>
      </c>
      <c r="U23" s="33">
        <v>0.33333333333333331</v>
      </c>
      <c r="V23" s="33">
        <v>0.33333333333333331</v>
      </c>
      <c r="W23" s="33">
        <v>0.33333333333333331</v>
      </c>
      <c r="X23" s="127">
        <v>0.33333333333333331</v>
      </c>
      <c r="Y23" s="33">
        <v>0.33333333333333331</v>
      </c>
      <c r="Z23" s="33">
        <v>0.33333333333333331</v>
      </c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157">
        <f>SUMPRODUCT(--((N23:AR23&lt;&gt;"")+(N24:AR24&lt;&gt;"")&gt;0))</f>
        <v>12</v>
      </c>
      <c r="AT23" s="144" t="str">
        <f>IF(OR(E23="일용",E23="사업"&amp;CHAR(10)&amp;"소득"),"일당",IF(E23="시급","시급",IF(E23="월급","월급","")))</f>
        <v>시급</v>
      </c>
      <c r="AU23" s="147">
        <v>10320</v>
      </c>
      <c r="AV23" s="104">
        <v>1956880</v>
      </c>
      <c r="AW23" s="93">
        <v>200000</v>
      </c>
      <c r="AX23" s="93"/>
      <c r="AY23" s="93"/>
      <c r="AZ23" s="105"/>
      <c r="BA23" s="132">
        <f>SUM(AV23:AZ24)</f>
        <v>2156880</v>
      </c>
      <c r="BB23" s="106"/>
      <c r="BC23" s="93"/>
      <c r="BD23" s="93"/>
      <c r="BE23" s="105">
        <v>100000</v>
      </c>
      <c r="BF23" s="105"/>
      <c r="BG23" s="135">
        <f>SUM(BB23:BF24)</f>
        <v>100000</v>
      </c>
      <c r="BH23" s="138">
        <f>BA23-BG23</f>
        <v>2056880</v>
      </c>
      <c r="BI23" s="141"/>
      <c r="BJ23" s="46"/>
    </row>
    <row r="24" spans="1:62" ht="20.45" customHeight="1">
      <c r="A24" s="161"/>
      <c r="B24" s="164"/>
      <c r="C24" s="167"/>
      <c r="D24" s="151"/>
      <c r="E24" s="170"/>
      <c r="F24" s="173"/>
      <c r="G24" s="176"/>
      <c r="H24" s="153"/>
      <c r="I24" s="153"/>
      <c r="J24" s="153"/>
      <c r="K24" s="153"/>
      <c r="L24" s="155"/>
      <c r="M24" s="107" t="s">
        <v>50</v>
      </c>
      <c r="N24" s="40"/>
      <c r="O24" s="40">
        <v>0.66666666666666663</v>
      </c>
      <c r="P24" s="41">
        <v>0.64583333333333337</v>
      </c>
      <c r="Q24" s="97">
        <v>0.70833333333333337</v>
      </c>
      <c r="R24" s="40">
        <v>0.66666666666666663</v>
      </c>
      <c r="S24" s="40">
        <v>0.70833333333333337</v>
      </c>
      <c r="T24" s="40">
        <v>0.70833333333333337</v>
      </c>
      <c r="U24" s="40">
        <v>0.8125</v>
      </c>
      <c r="V24" s="40">
        <v>0.66666666666666663</v>
      </c>
      <c r="W24" s="40">
        <v>0.64583333333333337</v>
      </c>
      <c r="X24" s="128">
        <v>0.8125</v>
      </c>
      <c r="Y24" s="128">
        <v>0.8125</v>
      </c>
      <c r="Z24" s="128">
        <v>0.91666666666666663</v>
      </c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158"/>
      <c r="AT24" s="145"/>
      <c r="AU24" s="148"/>
      <c r="AV24" s="111"/>
      <c r="AW24" s="112"/>
      <c r="AX24" s="112"/>
      <c r="AY24" s="112"/>
      <c r="AZ24" s="113"/>
      <c r="BA24" s="133"/>
      <c r="BB24" s="114"/>
      <c r="BC24" s="112"/>
      <c r="BD24" s="112"/>
      <c r="BE24" s="113"/>
      <c r="BF24" s="113"/>
      <c r="BG24" s="136"/>
      <c r="BH24" s="139"/>
      <c r="BI24" s="142"/>
      <c r="BJ24" s="19"/>
    </row>
    <row r="25" spans="1:62" ht="20.45" customHeight="1">
      <c r="A25" s="162"/>
      <c r="B25" s="165"/>
      <c r="C25" s="168"/>
      <c r="D25" s="116"/>
      <c r="E25" s="171"/>
      <c r="F25" s="174"/>
      <c r="G25" s="177"/>
      <c r="H25" s="115"/>
      <c r="I25" s="115"/>
      <c r="J25" s="115"/>
      <c r="K25" s="115"/>
      <c r="L25" s="156"/>
      <c r="M25" s="121" t="s">
        <v>216</v>
      </c>
      <c r="N25" s="122"/>
      <c r="O25" s="125"/>
      <c r="P25" s="122"/>
      <c r="Q25" s="123"/>
      <c r="R25" s="122"/>
      <c r="S25" s="122"/>
      <c r="T25" s="122"/>
      <c r="U25" s="122"/>
      <c r="V25" s="122"/>
      <c r="W25" s="124"/>
      <c r="X25" s="129"/>
      <c r="Y25" s="129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59"/>
      <c r="AT25" s="146"/>
      <c r="AU25" s="149"/>
      <c r="AV25" s="117"/>
      <c r="AW25" s="118"/>
      <c r="AX25" s="118"/>
      <c r="AY25" s="118"/>
      <c r="AZ25" s="119"/>
      <c r="BA25" s="134"/>
      <c r="BB25" s="120"/>
      <c r="BC25" s="118"/>
      <c r="BD25" s="118"/>
      <c r="BE25" s="119"/>
      <c r="BF25" s="119"/>
      <c r="BG25" s="137"/>
      <c r="BH25" s="140"/>
      <c r="BI25" s="143"/>
      <c r="BJ25" s="19"/>
    </row>
    <row r="26" spans="1:62" ht="20.45" customHeight="1">
      <c r="A26" s="160">
        <f>A23+1</f>
        <v>9</v>
      </c>
      <c r="B26" s="163" t="s">
        <v>91</v>
      </c>
      <c r="C26" s="166" t="s">
        <v>250</v>
      </c>
      <c r="D26" s="150"/>
      <c r="E26" s="169" t="s">
        <v>82</v>
      </c>
      <c r="F26" s="172" t="s">
        <v>92</v>
      </c>
      <c r="G26" s="175"/>
      <c r="H26" s="178"/>
      <c r="I26" s="152"/>
      <c r="J26" s="179" t="s">
        <v>93</v>
      </c>
      <c r="K26" s="179" t="s">
        <v>94</v>
      </c>
      <c r="L26" s="154" t="s">
        <v>95</v>
      </c>
      <c r="M26" s="103" t="s">
        <v>49</v>
      </c>
      <c r="N26" s="33"/>
      <c r="O26" s="33">
        <v>0.33333333333333331</v>
      </c>
      <c r="P26" s="33">
        <v>0.33333333333333331</v>
      </c>
      <c r="Q26" s="33">
        <v>0.33333333333333331</v>
      </c>
      <c r="R26" s="34">
        <v>0.33333333333333331</v>
      </c>
      <c r="S26" s="33">
        <v>0.33333333333333331</v>
      </c>
      <c r="T26" s="33">
        <v>0.33333333333333331</v>
      </c>
      <c r="U26" s="33">
        <v>0.33333333333333331</v>
      </c>
      <c r="V26" s="33">
        <v>0.33333333333333331</v>
      </c>
      <c r="W26" s="33">
        <v>0.33333333333333331</v>
      </c>
      <c r="X26" s="127">
        <v>0.33333333333333331</v>
      </c>
      <c r="Y26" s="127">
        <v>0.20833333333333334</v>
      </c>
      <c r="Z26" s="127">
        <v>0.20833333333333334</v>
      </c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157">
        <f>SUMPRODUCT(--((N26:AR26&lt;&gt;"")+(N27:AR27&lt;&gt;"")&gt;0))</f>
        <v>12</v>
      </c>
      <c r="AT26" s="144" t="str">
        <f>IF(OR(E26="일용",E26="사업"&amp;CHAR(10)&amp;"소득"),"일당",IF(E26="시급","시급",IF(E26="월급","월급","")))</f>
        <v>시급</v>
      </c>
      <c r="AU26" s="147">
        <v>10320</v>
      </c>
      <c r="AV26" s="104">
        <v>1956880</v>
      </c>
      <c r="AW26" s="93">
        <v>200000</v>
      </c>
      <c r="AX26" s="93"/>
      <c r="AY26" s="93"/>
      <c r="AZ26" s="105"/>
      <c r="BA26" s="132">
        <f>SUM(AV26:AZ27)</f>
        <v>2156880</v>
      </c>
      <c r="BB26" s="106"/>
      <c r="BC26" s="93"/>
      <c r="BD26" s="93"/>
      <c r="BE26" s="105">
        <v>100000</v>
      </c>
      <c r="BF26" s="105"/>
      <c r="BG26" s="135">
        <f>SUM(BB26:BF27)</f>
        <v>100000</v>
      </c>
      <c r="BH26" s="138">
        <f>BA26-BG26</f>
        <v>2056880</v>
      </c>
      <c r="BI26" s="141"/>
      <c r="BJ26" s="46"/>
    </row>
    <row r="27" spans="1:62" ht="20.45" customHeight="1">
      <c r="A27" s="161"/>
      <c r="B27" s="164"/>
      <c r="C27" s="167"/>
      <c r="D27" s="151"/>
      <c r="E27" s="170"/>
      <c r="F27" s="173"/>
      <c r="G27" s="176"/>
      <c r="H27" s="153"/>
      <c r="I27" s="153"/>
      <c r="J27" s="153"/>
      <c r="K27" s="153"/>
      <c r="L27" s="155"/>
      <c r="M27" s="107" t="s">
        <v>50</v>
      </c>
      <c r="N27" s="40"/>
      <c r="O27" s="40">
        <v>0.66666666666666663</v>
      </c>
      <c r="P27" s="41">
        <v>0.64583333333333337</v>
      </c>
      <c r="Q27" s="97">
        <v>0.70833333333333337</v>
      </c>
      <c r="R27" s="40">
        <v>0.66666666666666663</v>
      </c>
      <c r="S27" s="40">
        <v>0.70833333333333337</v>
      </c>
      <c r="T27" s="40">
        <v>0.8125</v>
      </c>
      <c r="U27" s="40">
        <v>0.8125</v>
      </c>
      <c r="V27" s="40">
        <v>0.66666666666666663</v>
      </c>
      <c r="W27" s="40">
        <v>0.64583333333333337</v>
      </c>
      <c r="X27" s="128">
        <v>0.91666666666666663</v>
      </c>
      <c r="Y27" s="128">
        <v>0.91666666666666663</v>
      </c>
      <c r="Z27" s="128">
        <v>0.91666666666666663</v>
      </c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158"/>
      <c r="AT27" s="145"/>
      <c r="AU27" s="148"/>
      <c r="AV27" s="111"/>
      <c r="AW27" s="112"/>
      <c r="AX27" s="112"/>
      <c r="AY27" s="112"/>
      <c r="AZ27" s="113"/>
      <c r="BA27" s="133"/>
      <c r="BB27" s="114"/>
      <c r="BC27" s="112"/>
      <c r="BD27" s="112"/>
      <c r="BE27" s="113"/>
      <c r="BF27" s="113"/>
      <c r="BG27" s="136"/>
      <c r="BH27" s="139"/>
      <c r="BI27" s="142"/>
      <c r="BJ27" s="19"/>
    </row>
    <row r="28" spans="1:62" ht="20.45" customHeight="1">
      <c r="A28" s="162"/>
      <c r="B28" s="165"/>
      <c r="C28" s="168"/>
      <c r="D28" s="116"/>
      <c r="E28" s="171"/>
      <c r="F28" s="174"/>
      <c r="G28" s="177"/>
      <c r="H28" s="115"/>
      <c r="I28" s="115"/>
      <c r="J28" s="115"/>
      <c r="K28" s="115"/>
      <c r="L28" s="156"/>
      <c r="M28" s="121" t="s">
        <v>216</v>
      </c>
      <c r="N28" s="122"/>
      <c r="O28" s="125"/>
      <c r="P28" s="122"/>
      <c r="Q28" s="123"/>
      <c r="R28" s="122"/>
      <c r="S28" s="122"/>
      <c r="T28" s="122"/>
      <c r="U28" s="122"/>
      <c r="V28" s="122"/>
      <c r="W28" s="124"/>
      <c r="X28" s="129"/>
      <c r="Y28" s="129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59"/>
      <c r="AT28" s="146"/>
      <c r="AU28" s="149"/>
      <c r="AV28" s="117"/>
      <c r="AW28" s="118"/>
      <c r="AX28" s="118"/>
      <c r="AY28" s="118"/>
      <c r="AZ28" s="119"/>
      <c r="BA28" s="134"/>
      <c r="BB28" s="120"/>
      <c r="BC28" s="118"/>
      <c r="BD28" s="118"/>
      <c r="BE28" s="119"/>
      <c r="BF28" s="119"/>
      <c r="BG28" s="137"/>
      <c r="BH28" s="140"/>
      <c r="BI28" s="143"/>
      <c r="BJ28" s="19"/>
    </row>
    <row r="29" spans="1:62" ht="20.45" customHeight="1">
      <c r="A29" s="160">
        <f>A26+1</f>
        <v>10</v>
      </c>
      <c r="B29" s="163" t="s">
        <v>96</v>
      </c>
      <c r="C29" s="166" t="s">
        <v>226</v>
      </c>
      <c r="D29" s="150" t="s">
        <v>227</v>
      </c>
      <c r="E29" s="169" t="s">
        <v>82</v>
      </c>
      <c r="F29" s="172" t="s">
        <v>97</v>
      </c>
      <c r="G29" s="175"/>
      <c r="H29" s="178"/>
      <c r="I29" s="152"/>
      <c r="J29" s="179" t="s">
        <v>98</v>
      </c>
      <c r="K29" s="179" t="s">
        <v>85</v>
      </c>
      <c r="L29" s="154" t="s">
        <v>99</v>
      </c>
      <c r="M29" s="103" t="s">
        <v>49</v>
      </c>
      <c r="N29" s="33"/>
      <c r="O29" s="33">
        <v>0.33333333333333331</v>
      </c>
      <c r="P29" s="33">
        <v>0.33333333333333331</v>
      </c>
      <c r="Q29" s="33">
        <v>0.33333333333333331</v>
      </c>
      <c r="R29" s="34">
        <v>0.33333333333333331</v>
      </c>
      <c r="S29" s="33">
        <v>0.33333333333333331</v>
      </c>
      <c r="T29" s="33">
        <v>0.33333333333333331</v>
      </c>
      <c r="U29" s="33">
        <v>0.33333333333333331</v>
      </c>
      <c r="V29" s="33">
        <v>0.33333333333333331</v>
      </c>
      <c r="W29" s="33">
        <v>0.33333333333333331</v>
      </c>
      <c r="X29" s="127">
        <v>0.33333333333333331</v>
      </c>
      <c r="Y29" s="33">
        <v>0.33333333333333331</v>
      </c>
      <c r="Z29" s="33">
        <v>0.33333333333333331</v>
      </c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157">
        <f>SUMPRODUCT(--((N29:AR29&lt;&gt;"")+(N30:AR30&lt;&gt;"")&gt;0))</f>
        <v>12</v>
      </c>
      <c r="AT29" s="144" t="str">
        <f>IF(OR(E29="일용",E29="사업"&amp;CHAR(10)&amp;"소득"),"일당",IF(E29="시급","시급",IF(E29="월급","월급","")))</f>
        <v>시급</v>
      </c>
      <c r="AU29" s="147">
        <v>10320</v>
      </c>
      <c r="AV29" s="104">
        <v>1956880</v>
      </c>
      <c r="AW29" s="93">
        <v>200000</v>
      </c>
      <c r="AX29" s="93"/>
      <c r="AY29" s="93"/>
      <c r="AZ29" s="105"/>
      <c r="BA29" s="132">
        <f>SUM(AV29:AZ30)</f>
        <v>2156880</v>
      </c>
      <c r="BB29" s="106"/>
      <c r="BC29" s="93"/>
      <c r="BD29" s="93"/>
      <c r="BE29" s="105">
        <v>100000</v>
      </c>
      <c r="BF29" s="105"/>
      <c r="BG29" s="135">
        <f>SUM(BB29:BF30)</f>
        <v>100000</v>
      </c>
      <c r="BH29" s="138">
        <f>BA29-BG29</f>
        <v>2056880</v>
      </c>
      <c r="BI29" s="141"/>
      <c r="BJ29" s="46"/>
    </row>
    <row r="30" spans="1:62" ht="20.45" customHeight="1">
      <c r="A30" s="161"/>
      <c r="B30" s="164"/>
      <c r="C30" s="167"/>
      <c r="D30" s="151"/>
      <c r="E30" s="170"/>
      <c r="F30" s="173"/>
      <c r="G30" s="176"/>
      <c r="H30" s="153"/>
      <c r="I30" s="153"/>
      <c r="J30" s="153"/>
      <c r="K30" s="153"/>
      <c r="L30" s="155"/>
      <c r="M30" s="107" t="s">
        <v>50</v>
      </c>
      <c r="N30" s="40"/>
      <c r="O30" s="40">
        <v>0.66666666666666663</v>
      </c>
      <c r="P30" s="41">
        <v>0.64583333333333337</v>
      </c>
      <c r="Q30" s="97">
        <v>0.70833333333333337</v>
      </c>
      <c r="R30" s="40">
        <v>0.66666666666666663</v>
      </c>
      <c r="S30" s="40">
        <v>0.70833333333333337</v>
      </c>
      <c r="T30" s="40">
        <v>0.70833333333333337</v>
      </c>
      <c r="U30" s="40">
        <v>0.8125</v>
      </c>
      <c r="V30" s="40">
        <v>0.66666666666666663</v>
      </c>
      <c r="W30" s="40">
        <v>0.64583333333333337</v>
      </c>
      <c r="X30" s="128">
        <v>0.91666666666666663</v>
      </c>
      <c r="Y30" s="128">
        <v>0.91666666666666663</v>
      </c>
      <c r="Z30" s="128">
        <v>0.91666666666666663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158"/>
      <c r="AT30" s="145"/>
      <c r="AU30" s="148"/>
      <c r="AV30" s="111"/>
      <c r="AW30" s="112"/>
      <c r="AX30" s="112"/>
      <c r="AY30" s="112"/>
      <c r="AZ30" s="113"/>
      <c r="BA30" s="133"/>
      <c r="BB30" s="114"/>
      <c r="BC30" s="112"/>
      <c r="BD30" s="112"/>
      <c r="BE30" s="113"/>
      <c r="BF30" s="113"/>
      <c r="BG30" s="136"/>
      <c r="BH30" s="139"/>
      <c r="BI30" s="142"/>
      <c r="BJ30" s="19"/>
    </row>
    <row r="31" spans="1:62" ht="20.45" customHeight="1">
      <c r="A31" s="162"/>
      <c r="B31" s="165"/>
      <c r="C31" s="168"/>
      <c r="D31" s="116"/>
      <c r="E31" s="171"/>
      <c r="F31" s="174"/>
      <c r="G31" s="177"/>
      <c r="H31" s="115"/>
      <c r="I31" s="115"/>
      <c r="J31" s="115"/>
      <c r="K31" s="115"/>
      <c r="L31" s="156"/>
      <c r="M31" s="121" t="s">
        <v>216</v>
      </c>
      <c r="N31" s="122"/>
      <c r="O31" s="125"/>
      <c r="P31" s="122"/>
      <c r="Q31" s="123"/>
      <c r="R31" s="122"/>
      <c r="S31" s="122"/>
      <c r="T31" s="122"/>
      <c r="U31" s="122"/>
      <c r="V31" s="122"/>
      <c r="W31" s="124"/>
      <c r="X31" s="129"/>
      <c r="Y31" s="129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59"/>
      <c r="AT31" s="146"/>
      <c r="AU31" s="149"/>
      <c r="AV31" s="117"/>
      <c r="AW31" s="118"/>
      <c r="AX31" s="118"/>
      <c r="AY31" s="118"/>
      <c r="AZ31" s="119"/>
      <c r="BA31" s="134"/>
      <c r="BB31" s="120"/>
      <c r="BC31" s="118"/>
      <c r="BD31" s="118"/>
      <c r="BE31" s="119"/>
      <c r="BF31" s="119"/>
      <c r="BG31" s="137"/>
      <c r="BH31" s="140"/>
      <c r="BI31" s="143"/>
      <c r="BJ31" s="19"/>
    </row>
    <row r="32" spans="1:62" ht="20.45" customHeight="1">
      <c r="A32" s="160">
        <f>A29+1</f>
        <v>11</v>
      </c>
      <c r="B32" s="163" t="s">
        <v>100</v>
      </c>
      <c r="C32" s="166" t="s">
        <v>228</v>
      </c>
      <c r="D32" s="150" t="s">
        <v>229</v>
      </c>
      <c r="E32" s="169" t="s">
        <v>101</v>
      </c>
      <c r="F32" s="172" t="s">
        <v>102</v>
      </c>
      <c r="G32" s="175"/>
      <c r="H32" s="178"/>
      <c r="I32" s="152" t="s">
        <v>103</v>
      </c>
      <c r="J32" s="179" t="s">
        <v>104</v>
      </c>
      <c r="K32" s="179"/>
      <c r="L32" s="154" t="s">
        <v>95</v>
      </c>
      <c r="M32" s="103" t="s">
        <v>49</v>
      </c>
      <c r="N32" s="33"/>
      <c r="O32" s="33">
        <v>0.33333333333333331</v>
      </c>
      <c r="P32" s="33">
        <v>0.33333333333333331</v>
      </c>
      <c r="Q32" s="33">
        <v>0.33333333333333331</v>
      </c>
      <c r="R32" s="34">
        <v>0.33333333333333331</v>
      </c>
      <c r="S32" s="33">
        <v>0.33333333333333331</v>
      </c>
      <c r="T32" s="33">
        <v>0.33333333333333331</v>
      </c>
      <c r="U32" s="33">
        <v>0.33333333333333331</v>
      </c>
      <c r="V32" s="33">
        <v>0.33333333333333331</v>
      </c>
      <c r="W32" s="33"/>
      <c r="X32" s="127">
        <v>0.33333333333333331</v>
      </c>
      <c r="Y32" s="33">
        <v>0.33333333333333331</v>
      </c>
      <c r="Z32" s="33">
        <v>0.33333333333333331</v>
      </c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157">
        <f>SUM(N34:AR34)</f>
        <v>6</v>
      </c>
      <c r="AT32" s="144" t="str">
        <f>IF(OR(E32="일용",E32="사업"&amp;CHAR(10)&amp;"소득"),"일당",IF(E32="시급","시급",IF(E32="월급","월급","")))</f>
        <v>일당</v>
      </c>
      <c r="AU32" s="147">
        <v>150000</v>
      </c>
      <c r="AV32" s="104"/>
      <c r="AW32" s="93"/>
      <c r="AX32" s="93"/>
      <c r="AY32" s="93"/>
      <c r="AZ32" s="105"/>
      <c r="BA32" s="132">
        <f>AS32*AU32</f>
        <v>900000</v>
      </c>
      <c r="BB32" s="106"/>
      <c r="BC32" s="93"/>
      <c r="BD32" s="93"/>
      <c r="BE32" s="105"/>
      <c r="BF32" s="105"/>
      <c r="BG32" s="135">
        <f>SUM(BB32:BF33)</f>
        <v>0</v>
      </c>
      <c r="BH32" s="138">
        <f>BA32-BG32</f>
        <v>900000</v>
      </c>
      <c r="BI32" s="141"/>
      <c r="BJ32" s="46"/>
    </row>
    <row r="33" spans="1:62" ht="20.45" customHeight="1">
      <c r="A33" s="161"/>
      <c r="B33" s="164"/>
      <c r="C33" s="167"/>
      <c r="D33" s="151"/>
      <c r="E33" s="170"/>
      <c r="F33" s="173"/>
      <c r="G33" s="176"/>
      <c r="H33" s="153"/>
      <c r="I33" s="153"/>
      <c r="J33" s="153"/>
      <c r="K33" s="153"/>
      <c r="L33" s="155"/>
      <c r="M33" s="107" t="s">
        <v>50</v>
      </c>
      <c r="N33" s="108"/>
      <c r="O33" s="108">
        <v>0.66666666666666663</v>
      </c>
      <c r="P33" s="108">
        <v>0.64583333333333337</v>
      </c>
      <c r="Q33" s="109">
        <v>0.70833333333333337</v>
      </c>
      <c r="R33" s="108">
        <v>0.5</v>
      </c>
      <c r="S33" s="40">
        <v>0.70833333333333337</v>
      </c>
      <c r="T33" s="40">
        <v>0.70833333333333337</v>
      </c>
      <c r="U33" s="40">
        <v>0.70833333333333337</v>
      </c>
      <c r="V33" s="40">
        <v>0.66666666666666663</v>
      </c>
      <c r="W33" s="40"/>
      <c r="X33" s="128">
        <v>0.70833333333333337</v>
      </c>
      <c r="Y33" s="128">
        <v>0.91666666666666663</v>
      </c>
      <c r="Z33" s="128">
        <v>0.91666666666666663</v>
      </c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58"/>
      <c r="AT33" s="145"/>
      <c r="AU33" s="148"/>
      <c r="AV33" s="111"/>
      <c r="AW33" s="112"/>
      <c r="AX33" s="112"/>
      <c r="AY33" s="112"/>
      <c r="AZ33" s="113"/>
      <c r="BA33" s="133"/>
      <c r="BB33" s="114"/>
      <c r="BC33" s="112"/>
      <c r="BD33" s="112"/>
      <c r="BE33" s="113"/>
      <c r="BF33" s="113"/>
      <c r="BG33" s="136"/>
      <c r="BH33" s="139"/>
      <c r="BI33" s="142"/>
      <c r="BJ33" s="19"/>
    </row>
    <row r="34" spans="1:62" ht="20.45" customHeight="1">
      <c r="A34" s="162"/>
      <c r="B34" s="165"/>
      <c r="C34" s="168"/>
      <c r="D34" s="116"/>
      <c r="E34" s="171"/>
      <c r="F34" s="174"/>
      <c r="G34" s="177"/>
      <c r="H34" s="115"/>
      <c r="I34" s="115"/>
      <c r="J34" s="115"/>
      <c r="K34" s="115"/>
      <c r="L34" s="156"/>
      <c r="M34" s="121" t="s">
        <v>241</v>
      </c>
      <c r="N34" s="122"/>
      <c r="O34" s="122">
        <v>1</v>
      </c>
      <c r="P34" s="122">
        <v>1</v>
      </c>
      <c r="Q34" s="123">
        <v>1</v>
      </c>
      <c r="R34" s="122">
        <v>1</v>
      </c>
      <c r="S34" s="122">
        <v>1</v>
      </c>
      <c r="T34" s="122">
        <v>1</v>
      </c>
      <c r="U34" s="122"/>
      <c r="V34" s="122"/>
      <c r="W34" s="124"/>
      <c r="X34" s="129"/>
      <c r="Y34" s="129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59"/>
      <c r="AT34" s="146"/>
      <c r="AU34" s="149"/>
      <c r="AV34" s="117"/>
      <c r="AW34" s="118"/>
      <c r="AX34" s="118"/>
      <c r="AY34" s="118"/>
      <c r="AZ34" s="119"/>
      <c r="BA34" s="134"/>
      <c r="BB34" s="120"/>
      <c r="BC34" s="118"/>
      <c r="BD34" s="118"/>
      <c r="BE34" s="119"/>
      <c r="BF34" s="119"/>
      <c r="BG34" s="137"/>
      <c r="BH34" s="140"/>
      <c r="BI34" s="143"/>
      <c r="BJ34" s="19"/>
    </row>
    <row r="35" spans="1:62" ht="20.45" customHeight="1">
      <c r="A35" s="160">
        <f>A32+1</f>
        <v>12</v>
      </c>
      <c r="B35" s="163" t="s">
        <v>105</v>
      </c>
      <c r="C35" s="166" t="s">
        <v>230</v>
      </c>
      <c r="D35" s="150" t="s">
        <v>231</v>
      </c>
      <c r="E35" s="169" t="s">
        <v>101</v>
      </c>
      <c r="F35" s="172" t="s">
        <v>106</v>
      </c>
      <c r="G35" s="175"/>
      <c r="H35" s="178"/>
      <c r="I35" s="152" t="s">
        <v>107</v>
      </c>
      <c r="J35" s="179" t="s">
        <v>108</v>
      </c>
      <c r="K35" s="179"/>
      <c r="L35" s="154" t="s">
        <v>74</v>
      </c>
      <c r="M35" s="103" t="s">
        <v>49</v>
      </c>
      <c r="N35" s="33"/>
      <c r="O35" s="33">
        <v>0.33333333333333331</v>
      </c>
      <c r="P35" s="33">
        <v>0.33333333333333331</v>
      </c>
      <c r="Q35" s="33">
        <v>0.33333333333333331</v>
      </c>
      <c r="R35" s="34">
        <v>0.33333333333333331</v>
      </c>
      <c r="S35" s="33">
        <v>0.33333333333333331</v>
      </c>
      <c r="T35" s="33">
        <v>0.33333333333333331</v>
      </c>
      <c r="U35" s="33"/>
      <c r="V35" s="33">
        <v>0.33333333333333331</v>
      </c>
      <c r="W35" s="33">
        <v>0.33333333333333331</v>
      </c>
      <c r="X35" s="127">
        <v>0.33333333333333331</v>
      </c>
      <c r="Y35" s="127">
        <v>0.20833333333333334</v>
      </c>
      <c r="Z35" s="127">
        <v>0.20833333333333334</v>
      </c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157">
        <f>SUMPRODUCT(--((N35:AR35&lt;&gt;"")+(N36:AR36&lt;&gt;"")&gt;0))</f>
        <v>11</v>
      </c>
      <c r="AT35" s="144" t="str">
        <f>IF(OR(E35="일용",E35="사업"&amp;CHAR(10)&amp;"소득"),"일당",IF(E35="시급","시급",IF(E35="월급","월급","")))</f>
        <v>일당</v>
      </c>
      <c r="AU35" s="147">
        <v>180000</v>
      </c>
      <c r="AV35" s="104"/>
      <c r="AW35" s="93"/>
      <c r="AX35" s="93"/>
      <c r="AY35" s="93"/>
      <c r="AZ35" s="105"/>
      <c r="BA35" s="132">
        <f t="shared" ref="BA35" si="1">AS35*AU35</f>
        <v>1980000</v>
      </c>
      <c r="BB35" s="106"/>
      <c r="BC35" s="93"/>
      <c r="BD35" s="93"/>
      <c r="BE35" s="105"/>
      <c r="BF35" s="105"/>
      <c r="BG35" s="135">
        <f>SUM(BB35:BF36)</f>
        <v>0</v>
      </c>
      <c r="BH35" s="138">
        <f>BA35-BG35</f>
        <v>1980000</v>
      </c>
      <c r="BI35" s="141"/>
      <c r="BJ35" s="19"/>
    </row>
    <row r="36" spans="1:62" ht="20.45" customHeight="1">
      <c r="A36" s="161"/>
      <c r="B36" s="164"/>
      <c r="C36" s="167"/>
      <c r="D36" s="151"/>
      <c r="E36" s="170"/>
      <c r="F36" s="173"/>
      <c r="G36" s="176"/>
      <c r="H36" s="153"/>
      <c r="I36" s="153"/>
      <c r="J36" s="153"/>
      <c r="K36" s="153"/>
      <c r="L36" s="155"/>
      <c r="M36" s="107" t="s">
        <v>50</v>
      </c>
      <c r="N36" s="108"/>
      <c r="O36" s="108">
        <v>0.66666666666666663</v>
      </c>
      <c r="P36" s="108">
        <v>0.64583333333333337</v>
      </c>
      <c r="Q36" s="109">
        <v>0.70833333333333337</v>
      </c>
      <c r="R36" s="108">
        <v>0.66666666666666663</v>
      </c>
      <c r="S36" s="40">
        <v>0.70833333333333337</v>
      </c>
      <c r="T36" s="40">
        <v>0.8125</v>
      </c>
      <c r="U36" s="108"/>
      <c r="V36" s="40">
        <v>0.66666666666666663</v>
      </c>
      <c r="W36" s="40">
        <v>0.64583333333333337</v>
      </c>
      <c r="X36" s="128">
        <v>0.8125</v>
      </c>
      <c r="Y36" s="128">
        <v>0.8125</v>
      </c>
      <c r="Z36" s="128">
        <v>0.8125</v>
      </c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58"/>
      <c r="AT36" s="145"/>
      <c r="AU36" s="148"/>
      <c r="AV36" s="111"/>
      <c r="AW36" s="112"/>
      <c r="AX36" s="112"/>
      <c r="AY36" s="112"/>
      <c r="AZ36" s="113"/>
      <c r="BA36" s="133"/>
      <c r="BB36" s="114"/>
      <c r="BC36" s="112"/>
      <c r="BD36" s="112"/>
      <c r="BE36" s="113"/>
      <c r="BF36" s="113"/>
      <c r="BG36" s="136"/>
      <c r="BH36" s="139"/>
      <c r="BI36" s="142"/>
      <c r="BJ36" s="19"/>
    </row>
    <row r="37" spans="1:62" ht="20.45" customHeight="1">
      <c r="A37" s="162"/>
      <c r="B37" s="165"/>
      <c r="C37" s="168"/>
      <c r="D37" s="116"/>
      <c r="E37" s="171"/>
      <c r="F37" s="174"/>
      <c r="G37" s="177"/>
      <c r="H37" s="115"/>
      <c r="I37" s="115"/>
      <c r="J37" s="115"/>
      <c r="K37" s="115"/>
      <c r="L37" s="156"/>
      <c r="M37" s="121" t="s">
        <v>241</v>
      </c>
      <c r="N37" s="122"/>
      <c r="O37" s="122">
        <v>1</v>
      </c>
      <c r="P37" s="122">
        <v>1</v>
      </c>
      <c r="Q37" s="123">
        <v>1</v>
      </c>
      <c r="R37" s="122">
        <v>1</v>
      </c>
      <c r="S37" s="122">
        <v>1</v>
      </c>
      <c r="T37" s="122">
        <v>1.5</v>
      </c>
      <c r="U37" s="122"/>
      <c r="V37" s="122"/>
      <c r="W37" s="124"/>
      <c r="X37" s="129"/>
      <c r="Y37" s="129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59"/>
      <c r="AT37" s="146"/>
      <c r="AU37" s="149"/>
      <c r="AV37" s="117"/>
      <c r="AW37" s="118"/>
      <c r="AX37" s="118"/>
      <c r="AY37" s="118"/>
      <c r="AZ37" s="119"/>
      <c r="BA37" s="134"/>
      <c r="BB37" s="120"/>
      <c r="BC37" s="118"/>
      <c r="BD37" s="118"/>
      <c r="BE37" s="119"/>
      <c r="BF37" s="119"/>
      <c r="BG37" s="137"/>
      <c r="BH37" s="140"/>
      <c r="BI37" s="143"/>
      <c r="BJ37" s="19"/>
    </row>
    <row r="38" spans="1:62" ht="20.45" customHeight="1">
      <c r="A38" s="160">
        <f>A35+1</f>
        <v>13</v>
      </c>
      <c r="B38" s="163" t="s">
        <v>109</v>
      </c>
      <c r="C38" s="166" t="s">
        <v>242</v>
      </c>
      <c r="D38" s="150"/>
      <c r="E38" s="169" t="s">
        <v>101</v>
      </c>
      <c r="F38" s="172" t="s">
        <v>256</v>
      </c>
      <c r="G38" s="175"/>
      <c r="H38" s="178"/>
      <c r="I38" s="152" t="s">
        <v>110</v>
      </c>
      <c r="J38" s="179" t="s">
        <v>111</v>
      </c>
      <c r="K38" s="179" t="s">
        <v>112</v>
      </c>
      <c r="L38" s="154" t="s">
        <v>80</v>
      </c>
      <c r="M38" s="103" t="s">
        <v>49</v>
      </c>
      <c r="N38" s="33"/>
      <c r="O38" s="33"/>
      <c r="P38" s="33"/>
      <c r="Q38" s="33">
        <v>0.33333333333333331</v>
      </c>
      <c r="R38" s="34">
        <v>0.33333333333333331</v>
      </c>
      <c r="S38" s="33">
        <v>0.33333333333333331</v>
      </c>
      <c r="T38" s="33">
        <v>0.33333333333333331</v>
      </c>
      <c r="U38" s="33">
        <v>0.33333333333333331</v>
      </c>
      <c r="V38" s="33">
        <v>0.33333333333333331</v>
      </c>
      <c r="W38" s="33">
        <v>0.33333333333333331</v>
      </c>
      <c r="X38" s="127">
        <v>0.33333333333333331</v>
      </c>
      <c r="Y38" s="33">
        <v>0.33333333333333331</v>
      </c>
      <c r="Z38" s="33">
        <v>0.33333333333333331</v>
      </c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157">
        <f>SUMPRODUCT(--((N38:AR38&lt;&gt;"")+(N39:AR39&lt;&gt;"")&gt;0))</f>
        <v>10</v>
      </c>
      <c r="AT38" s="144" t="str">
        <f>IF(OR(E38="일용",E38="사업"&amp;CHAR(10)&amp;"소득"),"일당",IF(E38="시급","시급",IF(E38="월급","월급","")))</f>
        <v>일당</v>
      </c>
      <c r="AU38" s="147">
        <v>200000</v>
      </c>
      <c r="AV38" s="104"/>
      <c r="AW38" s="93"/>
      <c r="AX38" s="93"/>
      <c r="AY38" s="93"/>
      <c r="AZ38" s="105"/>
      <c r="BA38" s="132">
        <f t="shared" ref="BA38" si="2">AS38*AU38</f>
        <v>2000000</v>
      </c>
      <c r="BB38" s="106"/>
      <c r="BC38" s="93"/>
      <c r="BD38" s="93"/>
      <c r="BE38" s="105"/>
      <c r="BF38" s="105"/>
      <c r="BG38" s="135">
        <f>SUM(BB38:BF39)</f>
        <v>0</v>
      </c>
      <c r="BH38" s="138">
        <f>BA38-BG38</f>
        <v>2000000</v>
      </c>
      <c r="BI38" s="141"/>
      <c r="BJ38" s="19"/>
    </row>
    <row r="39" spans="1:62" ht="20.45" customHeight="1">
      <c r="A39" s="161"/>
      <c r="B39" s="164"/>
      <c r="C39" s="167"/>
      <c r="D39" s="151"/>
      <c r="E39" s="170"/>
      <c r="F39" s="173"/>
      <c r="G39" s="176"/>
      <c r="H39" s="153"/>
      <c r="I39" s="153"/>
      <c r="J39" s="153"/>
      <c r="K39" s="153"/>
      <c r="L39" s="155"/>
      <c r="M39" s="107" t="s">
        <v>50</v>
      </c>
      <c r="N39" s="108"/>
      <c r="O39" s="108"/>
      <c r="P39" s="108"/>
      <c r="Q39" s="109">
        <v>0.70833333333333337</v>
      </c>
      <c r="R39" s="108">
        <v>0.66666666666666663</v>
      </c>
      <c r="S39" s="40">
        <v>0.70833333333333337</v>
      </c>
      <c r="T39" s="40">
        <v>0.8125</v>
      </c>
      <c r="U39" s="40">
        <v>0.70833333333333337</v>
      </c>
      <c r="V39" s="40">
        <v>0.66666666666666663</v>
      </c>
      <c r="W39" s="40">
        <v>0.64583333333333337</v>
      </c>
      <c r="X39" s="128">
        <v>0.8125</v>
      </c>
      <c r="Y39" s="128">
        <v>0.8125</v>
      </c>
      <c r="Z39" s="128">
        <v>0.8125</v>
      </c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58"/>
      <c r="AT39" s="145"/>
      <c r="AU39" s="148"/>
      <c r="AV39" s="111"/>
      <c r="AW39" s="112"/>
      <c r="AX39" s="112"/>
      <c r="AY39" s="112"/>
      <c r="AZ39" s="113"/>
      <c r="BA39" s="133"/>
      <c r="BB39" s="114"/>
      <c r="BC39" s="112"/>
      <c r="BD39" s="112"/>
      <c r="BE39" s="113"/>
      <c r="BF39" s="113"/>
      <c r="BG39" s="136"/>
      <c r="BH39" s="139"/>
      <c r="BI39" s="142"/>
      <c r="BJ39" s="19"/>
    </row>
    <row r="40" spans="1:62" ht="20.45" customHeight="1">
      <c r="A40" s="162"/>
      <c r="B40" s="165"/>
      <c r="C40" s="168"/>
      <c r="D40" s="116"/>
      <c r="E40" s="171"/>
      <c r="F40" s="174"/>
      <c r="G40" s="177"/>
      <c r="H40" s="115"/>
      <c r="I40" s="115"/>
      <c r="J40" s="115"/>
      <c r="K40" s="115"/>
      <c r="L40" s="156"/>
      <c r="M40" s="121" t="s">
        <v>241</v>
      </c>
      <c r="N40" s="122"/>
      <c r="O40" s="122"/>
      <c r="P40" s="122"/>
      <c r="Q40" s="123">
        <v>1</v>
      </c>
      <c r="R40" s="122">
        <v>1</v>
      </c>
      <c r="S40" s="122">
        <v>1</v>
      </c>
      <c r="T40" s="122">
        <v>1.5</v>
      </c>
      <c r="U40" s="122"/>
      <c r="V40" s="122"/>
      <c r="W40" s="124"/>
      <c r="X40" s="129"/>
      <c r="Y40" s="129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59"/>
      <c r="AT40" s="146"/>
      <c r="AU40" s="149"/>
      <c r="AV40" s="117"/>
      <c r="AW40" s="118"/>
      <c r="AX40" s="118"/>
      <c r="AY40" s="118"/>
      <c r="AZ40" s="119"/>
      <c r="BA40" s="134"/>
      <c r="BB40" s="120"/>
      <c r="BC40" s="118"/>
      <c r="BD40" s="118"/>
      <c r="BE40" s="119"/>
      <c r="BF40" s="119"/>
      <c r="BG40" s="137"/>
      <c r="BH40" s="140"/>
      <c r="BI40" s="143"/>
      <c r="BJ40" s="19"/>
    </row>
    <row r="41" spans="1:62" ht="20.45" customHeight="1">
      <c r="A41" s="160">
        <f>A38+1</f>
        <v>14</v>
      </c>
      <c r="B41" s="163" t="s">
        <v>113</v>
      </c>
      <c r="C41" s="166" t="s">
        <v>243</v>
      </c>
      <c r="D41" s="150"/>
      <c r="E41" s="169" t="s">
        <v>101</v>
      </c>
      <c r="F41" s="172" t="s">
        <v>114</v>
      </c>
      <c r="G41" s="175"/>
      <c r="H41" s="178"/>
      <c r="I41" s="152" t="s">
        <v>115</v>
      </c>
      <c r="J41" s="179" t="s">
        <v>116</v>
      </c>
      <c r="K41" s="179" t="s">
        <v>117</v>
      </c>
      <c r="L41" s="154" t="s">
        <v>118</v>
      </c>
      <c r="M41" s="103" t="s">
        <v>49</v>
      </c>
      <c r="N41" s="33"/>
      <c r="O41" s="33">
        <v>0.33333333333333331</v>
      </c>
      <c r="P41" s="33">
        <v>0.33333333333333331</v>
      </c>
      <c r="Q41" s="33">
        <v>0.33333333333333331</v>
      </c>
      <c r="R41" s="34">
        <v>0.33333333333333331</v>
      </c>
      <c r="S41" s="33">
        <v>0.33333333333333331</v>
      </c>
      <c r="T41" s="33">
        <v>0.33333333333333331</v>
      </c>
      <c r="U41" s="33">
        <v>0.33333333333333331</v>
      </c>
      <c r="V41" s="33">
        <v>0.33333333333333331</v>
      </c>
      <c r="W41" s="33">
        <v>0.33333333333333331</v>
      </c>
      <c r="X41" s="127"/>
      <c r="Y41" s="33">
        <v>0.33333333333333331</v>
      </c>
      <c r="Z41" s="33">
        <v>0.33333333333333331</v>
      </c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157">
        <f>SUMPRODUCT(--((N41:AR41&lt;&gt;"")+(N42:AR42&lt;&gt;"")&gt;0))</f>
        <v>11</v>
      </c>
      <c r="AT41" s="144" t="str">
        <f>IF(OR(E41="일용",E41="사업"&amp;CHAR(10)&amp;"소득"),"일당",IF(E41="시급","시급",IF(E41="월급","월급","")))</f>
        <v>일당</v>
      </c>
      <c r="AU41" s="147">
        <v>200000</v>
      </c>
      <c r="AV41" s="104"/>
      <c r="AW41" s="93"/>
      <c r="AX41" s="93"/>
      <c r="AY41" s="93"/>
      <c r="AZ41" s="105"/>
      <c r="BA41" s="132">
        <f t="shared" ref="BA41" si="3">AS41*AU41</f>
        <v>2200000</v>
      </c>
      <c r="BB41" s="106"/>
      <c r="BC41" s="93"/>
      <c r="BD41" s="93"/>
      <c r="BE41" s="105"/>
      <c r="BF41" s="105"/>
      <c r="BG41" s="135">
        <f>SUM(BB41:BF42)</f>
        <v>0</v>
      </c>
      <c r="BH41" s="138">
        <f>BA41-BG41</f>
        <v>2200000</v>
      </c>
      <c r="BI41" s="141"/>
      <c r="BJ41" s="46"/>
    </row>
    <row r="42" spans="1:62" ht="20.45" customHeight="1">
      <c r="A42" s="161"/>
      <c r="B42" s="164"/>
      <c r="C42" s="167"/>
      <c r="D42" s="151"/>
      <c r="E42" s="170"/>
      <c r="F42" s="173"/>
      <c r="G42" s="176"/>
      <c r="H42" s="153"/>
      <c r="I42" s="153"/>
      <c r="J42" s="153"/>
      <c r="K42" s="153"/>
      <c r="L42" s="155"/>
      <c r="M42" s="107" t="s">
        <v>50</v>
      </c>
      <c r="N42" s="108"/>
      <c r="O42" s="108">
        <v>0.66666666666666663</v>
      </c>
      <c r="P42" s="108">
        <v>0.64583333333333337</v>
      </c>
      <c r="Q42" s="109">
        <v>0.70833333333333337</v>
      </c>
      <c r="R42" s="108">
        <v>0.66666666666666663</v>
      </c>
      <c r="S42" s="40">
        <v>0.70833333333333337</v>
      </c>
      <c r="T42" s="40">
        <v>0.70833333333333337</v>
      </c>
      <c r="U42" s="40">
        <v>0.70833333333333337</v>
      </c>
      <c r="V42" s="40">
        <v>0.66666666666666663</v>
      </c>
      <c r="W42" s="40">
        <v>0.64583333333333337</v>
      </c>
      <c r="X42" s="130"/>
      <c r="Y42" s="128">
        <v>0.8125</v>
      </c>
      <c r="Z42" s="128">
        <v>0.8125</v>
      </c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58"/>
      <c r="AT42" s="145"/>
      <c r="AU42" s="148"/>
      <c r="AV42" s="111"/>
      <c r="AW42" s="112"/>
      <c r="AX42" s="112"/>
      <c r="AY42" s="112"/>
      <c r="AZ42" s="113"/>
      <c r="BA42" s="133"/>
      <c r="BB42" s="114"/>
      <c r="BC42" s="112"/>
      <c r="BD42" s="112"/>
      <c r="BE42" s="113"/>
      <c r="BF42" s="113"/>
      <c r="BG42" s="136"/>
      <c r="BH42" s="139"/>
      <c r="BI42" s="142"/>
      <c r="BJ42" s="19"/>
    </row>
    <row r="43" spans="1:62" ht="20.45" customHeight="1">
      <c r="A43" s="162"/>
      <c r="B43" s="165"/>
      <c r="C43" s="168"/>
      <c r="D43" s="116"/>
      <c r="E43" s="171"/>
      <c r="F43" s="174"/>
      <c r="G43" s="177"/>
      <c r="H43" s="115"/>
      <c r="I43" s="115"/>
      <c r="J43" s="115"/>
      <c r="K43" s="115"/>
      <c r="L43" s="156"/>
      <c r="M43" s="121" t="s">
        <v>241</v>
      </c>
      <c r="N43" s="122"/>
      <c r="O43" s="122">
        <v>1</v>
      </c>
      <c r="P43" s="122">
        <v>1</v>
      </c>
      <c r="Q43" s="123">
        <v>1</v>
      </c>
      <c r="R43" s="122">
        <v>1</v>
      </c>
      <c r="S43" s="122">
        <v>1</v>
      </c>
      <c r="T43" s="122">
        <v>1</v>
      </c>
      <c r="U43" s="122"/>
      <c r="V43" s="122"/>
      <c r="W43" s="124"/>
      <c r="X43" s="129"/>
      <c r="Y43" s="129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59"/>
      <c r="AT43" s="146"/>
      <c r="AU43" s="149"/>
      <c r="AV43" s="117"/>
      <c r="AW43" s="118"/>
      <c r="AX43" s="118"/>
      <c r="AY43" s="118"/>
      <c r="AZ43" s="119"/>
      <c r="BA43" s="134"/>
      <c r="BB43" s="120"/>
      <c r="BC43" s="118"/>
      <c r="BD43" s="118"/>
      <c r="BE43" s="119"/>
      <c r="BF43" s="119"/>
      <c r="BG43" s="137"/>
      <c r="BH43" s="140"/>
      <c r="BI43" s="143"/>
      <c r="BJ43" s="19"/>
    </row>
    <row r="44" spans="1:62" ht="20.45" customHeight="1">
      <c r="A44" s="160">
        <f>A41+1</f>
        <v>15</v>
      </c>
      <c r="B44" s="163" t="s">
        <v>119</v>
      </c>
      <c r="C44" s="166" t="s">
        <v>244</v>
      </c>
      <c r="D44" s="150"/>
      <c r="E44" s="169" t="s">
        <v>101</v>
      </c>
      <c r="F44" s="172" t="s">
        <v>120</v>
      </c>
      <c r="G44" s="175"/>
      <c r="H44" s="178"/>
      <c r="I44" s="152" t="s">
        <v>121</v>
      </c>
      <c r="J44" s="179" t="s">
        <v>122</v>
      </c>
      <c r="K44" s="179" t="s">
        <v>123</v>
      </c>
      <c r="L44" s="154" t="s">
        <v>118</v>
      </c>
      <c r="M44" s="103" t="s">
        <v>49</v>
      </c>
      <c r="N44" s="33"/>
      <c r="O44" s="33"/>
      <c r="P44" s="33"/>
      <c r="Q44" s="33">
        <v>0.33333333333333331</v>
      </c>
      <c r="R44" s="34">
        <v>0.33333333333333331</v>
      </c>
      <c r="S44" s="33">
        <v>0.33333333333333331</v>
      </c>
      <c r="T44" s="33">
        <v>0.33333333333333331</v>
      </c>
      <c r="U44" s="33">
        <v>0.33333333333333331</v>
      </c>
      <c r="V44" s="33">
        <v>0.33333333333333331</v>
      </c>
      <c r="W44" s="33">
        <v>0.33333333333333331</v>
      </c>
      <c r="X44" s="127">
        <v>0.33333333333333331</v>
      </c>
      <c r="Y44" s="33">
        <v>0.33333333333333331</v>
      </c>
      <c r="Z44" s="33">
        <v>0.33333333333333331</v>
      </c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157">
        <f>SUMPRODUCT(--((N44:AR44&lt;&gt;"")+(N45:AR45&lt;&gt;"")&gt;0))</f>
        <v>10</v>
      </c>
      <c r="AT44" s="144" t="str">
        <f>IF(OR(E44="일용",E44="사업"&amp;CHAR(10)&amp;"소득"),"일당",IF(E44="시급","시급",IF(E44="월급","월급","")))</f>
        <v>일당</v>
      </c>
      <c r="AU44" s="147">
        <v>200000</v>
      </c>
      <c r="AV44" s="104"/>
      <c r="AW44" s="93"/>
      <c r="AX44" s="93"/>
      <c r="AY44" s="93"/>
      <c r="AZ44" s="105"/>
      <c r="BA44" s="132">
        <f t="shared" ref="BA44" si="4">AS44*AU44</f>
        <v>2000000</v>
      </c>
      <c r="BB44" s="106"/>
      <c r="BC44" s="93"/>
      <c r="BD44" s="93"/>
      <c r="BE44" s="105"/>
      <c r="BF44" s="105"/>
      <c r="BG44" s="135">
        <f>SUM(BB44:BF45)</f>
        <v>0</v>
      </c>
      <c r="BH44" s="138">
        <f>BA44-BG44</f>
        <v>2000000</v>
      </c>
      <c r="BI44" s="141"/>
      <c r="BJ44" s="46"/>
    </row>
    <row r="45" spans="1:62" ht="20.45" customHeight="1">
      <c r="A45" s="161"/>
      <c r="B45" s="164"/>
      <c r="C45" s="167"/>
      <c r="D45" s="151"/>
      <c r="E45" s="170"/>
      <c r="F45" s="173"/>
      <c r="G45" s="176"/>
      <c r="H45" s="153"/>
      <c r="I45" s="153"/>
      <c r="J45" s="153"/>
      <c r="K45" s="153"/>
      <c r="L45" s="155"/>
      <c r="M45" s="107" t="s">
        <v>50</v>
      </c>
      <c r="N45" s="108"/>
      <c r="O45" s="108"/>
      <c r="P45" s="108"/>
      <c r="Q45" s="109">
        <v>0.70833333333333337</v>
      </c>
      <c r="R45" s="108">
        <v>0.66666666666666663</v>
      </c>
      <c r="S45" s="40">
        <v>0.70833333333333337</v>
      </c>
      <c r="T45" s="40">
        <v>0.70833333333333337</v>
      </c>
      <c r="U45" s="40">
        <v>0.70833333333333337</v>
      </c>
      <c r="V45" s="40">
        <v>0.66666666666666663</v>
      </c>
      <c r="W45" s="40">
        <v>0.64583333333333337</v>
      </c>
      <c r="X45" s="128">
        <v>0.70833333333333337</v>
      </c>
      <c r="Y45" s="128">
        <v>0.8125</v>
      </c>
      <c r="Z45" s="128">
        <v>0.8125</v>
      </c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58"/>
      <c r="AT45" s="145"/>
      <c r="AU45" s="148"/>
      <c r="AV45" s="111"/>
      <c r="AW45" s="112"/>
      <c r="AX45" s="112"/>
      <c r="AY45" s="112"/>
      <c r="AZ45" s="113"/>
      <c r="BA45" s="133"/>
      <c r="BB45" s="114"/>
      <c r="BC45" s="112"/>
      <c r="BD45" s="112"/>
      <c r="BE45" s="113"/>
      <c r="BF45" s="113"/>
      <c r="BG45" s="136"/>
      <c r="BH45" s="139"/>
      <c r="BI45" s="142"/>
      <c r="BJ45" s="19"/>
    </row>
    <row r="46" spans="1:62" ht="20.45" customHeight="1">
      <c r="A46" s="162"/>
      <c r="B46" s="165"/>
      <c r="C46" s="168"/>
      <c r="D46" s="116"/>
      <c r="E46" s="171"/>
      <c r="F46" s="174"/>
      <c r="G46" s="177"/>
      <c r="H46" s="115"/>
      <c r="I46" s="115"/>
      <c r="J46" s="115"/>
      <c r="K46" s="115"/>
      <c r="L46" s="156"/>
      <c r="M46" s="121" t="s">
        <v>241</v>
      </c>
      <c r="N46" s="122"/>
      <c r="O46" s="122"/>
      <c r="P46" s="122"/>
      <c r="Q46" s="123">
        <v>1</v>
      </c>
      <c r="R46" s="122">
        <v>1</v>
      </c>
      <c r="S46" s="122">
        <v>1</v>
      </c>
      <c r="T46" s="122">
        <v>1</v>
      </c>
      <c r="U46" s="122"/>
      <c r="V46" s="122"/>
      <c r="W46" s="124"/>
      <c r="X46" s="129"/>
      <c r="Y46" s="129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59"/>
      <c r="AT46" s="146"/>
      <c r="AU46" s="149"/>
      <c r="AV46" s="117"/>
      <c r="AW46" s="118"/>
      <c r="AX46" s="118"/>
      <c r="AY46" s="118"/>
      <c r="AZ46" s="119"/>
      <c r="BA46" s="134"/>
      <c r="BB46" s="120"/>
      <c r="BC46" s="118"/>
      <c r="BD46" s="118"/>
      <c r="BE46" s="119"/>
      <c r="BF46" s="119"/>
      <c r="BG46" s="137"/>
      <c r="BH46" s="140"/>
      <c r="BI46" s="143"/>
      <c r="BJ46" s="19"/>
    </row>
    <row r="47" spans="1:62" ht="20.45" customHeight="1">
      <c r="A47" s="160">
        <f>A44+1</f>
        <v>16</v>
      </c>
      <c r="B47" s="163" t="s">
        <v>124</v>
      </c>
      <c r="C47" s="166" t="s">
        <v>232</v>
      </c>
      <c r="D47" s="150" t="s">
        <v>233</v>
      </c>
      <c r="E47" s="169" t="s">
        <v>101</v>
      </c>
      <c r="F47" s="172" t="s">
        <v>125</v>
      </c>
      <c r="G47" s="175"/>
      <c r="H47" s="178"/>
      <c r="I47" s="152" t="s">
        <v>126</v>
      </c>
      <c r="J47" s="179" t="s">
        <v>127</v>
      </c>
      <c r="K47" s="179"/>
      <c r="L47" s="154" t="s">
        <v>99</v>
      </c>
      <c r="M47" s="103" t="s">
        <v>49</v>
      </c>
      <c r="N47" s="33"/>
      <c r="O47" s="33">
        <v>0.33333333333333331</v>
      </c>
      <c r="P47" s="33">
        <v>0.33333333333333331</v>
      </c>
      <c r="Q47" s="33">
        <v>0.33333333333333331</v>
      </c>
      <c r="R47" s="34"/>
      <c r="S47" s="33">
        <v>0.33333333333333331</v>
      </c>
      <c r="T47" s="33">
        <v>0.33333333333333331</v>
      </c>
      <c r="U47" s="33">
        <v>0.33333333333333331</v>
      </c>
      <c r="V47" s="33">
        <v>0.33333333333333331</v>
      </c>
      <c r="W47" s="33">
        <v>0.33333333333333331</v>
      </c>
      <c r="X47" s="127">
        <v>0.33333333333333331</v>
      </c>
      <c r="Y47" s="33">
        <v>0.33333333333333331</v>
      </c>
      <c r="Z47" s="33">
        <v>0.33333333333333331</v>
      </c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157">
        <f>SUMPRODUCT(--((N47:AR47&lt;&gt;"")+(N48:AR48&lt;&gt;"")&gt;0))</f>
        <v>11</v>
      </c>
      <c r="AT47" s="144" t="str">
        <f>IF(OR(E47="일용",E47="사업"&amp;CHAR(10)&amp;"소득"),"일당",IF(E47="시급","시급",IF(E47="월급","월급","")))</f>
        <v>일당</v>
      </c>
      <c r="AU47" s="147">
        <v>150000</v>
      </c>
      <c r="AV47" s="104"/>
      <c r="AW47" s="93"/>
      <c r="AX47" s="93"/>
      <c r="AY47" s="93"/>
      <c r="AZ47" s="105"/>
      <c r="BA47" s="132">
        <f t="shared" ref="BA47" si="5">AS47*AU47</f>
        <v>1650000</v>
      </c>
      <c r="BB47" s="106"/>
      <c r="BC47" s="93"/>
      <c r="BD47" s="93"/>
      <c r="BE47" s="105"/>
      <c r="BF47" s="105"/>
      <c r="BG47" s="135">
        <f>SUM(BB47:BF48)</f>
        <v>0</v>
      </c>
      <c r="BH47" s="138">
        <f>BA47-BG47</f>
        <v>1650000</v>
      </c>
      <c r="BI47" s="141"/>
      <c r="BJ47" s="19"/>
    </row>
    <row r="48" spans="1:62" ht="20.45" customHeight="1">
      <c r="A48" s="161"/>
      <c r="B48" s="164"/>
      <c r="C48" s="167"/>
      <c r="D48" s="151"/>
      <c r="E48" s="170"/>
      <c r="F48" s="173"/>
      <c r="G48" s="176"/>
      <c r="H48" s="153"/>
      <c r="I48" s="153"/>
      <c r="J48" s="153"/>
      <c r="K48" s="153"/>
      <c r="L48" s="155"/>
      <c r="M48" s="107" t="s">
        <v>50</v>
      </c>
      <c r="N48" s="108"/>
      <c r="O48" s="108">
        <v>0.66666666666666663</v>
      </c>
      <c r="P48" s="108">
        <v>0.64583333333333337</v>
      </c>
      <c r="Q48" s="109">
        <v>0.70833333333333337</v>
      </c>
      <c r="R48" s="108"/>
      <c r="S48" s="40">
        <v>0.70833333333333337</v>
      </c>
      <c r="T48" s="40">
        <v>0.70833333333333337</v>
      </c>
      <c r="U48" s="40">
        <v>0.70833333333333337</v>
      </c>
      <c r="V48" s="40">
        <v>0.66666666666666663</v>
      </c>
      <c r="W48" s="40">
        <v>0.64583333333333337</v>
      </c>
      <c r="X48" s="128">
        <v>0.70833333333333337</v>
      </c>
      <c r="Y48" s="40">
        <v>0.70833333333333337</v>
      </c>
      <c r="Z48" s="40">
        <v>0.70833333333333337</v>
      </c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58"/>
      <c r="AT48" s="145"/>
      <c r="AU48" s="148"/>
      <c r="AV48" s="111"/>
      <c r="AW48" s="112"/>
      <c r="AX48" s="112"/>
      <c r="AY48" s="112"/>
      <c r="AZ48" s="113"/>
      <c r="BA48" s="133"/>
      <c r="BB48" s="114"/>
      <c r="BC48" s="112"/>
      <c r="BD48" s="112"/>
      <c r="BE48" s="113"/>
      <c r="BF48" s="113"/>
      <c r="BG48" s="136"/>
      <c r="BH48" s="139"/>
      <c r="BI48" s="142"/>
      <c r="BJ48" s="46"/>
    </row>
    <row r="49" spans="1:62" ht="20.45" customHeight="1">
      <c r="A49" s="162"/>
      <c r="B49" s="165"/>
      <c r="C49" s="168"/>
      <c r="D49" s="116"/>
      <c r="E49" s="171"/>
      <c r="F49" s="174"/>
      <c r="G49" s="177"/>
      <c r="H49" s="115"/>
      <c r="I49" s="115"/>
      <c r="J49" s="115"/>
      <c r="K49" s="115"/>
      <c r="L49" s="156"/>
      <c r="M49" s="121" t="s">
        <v>241</v>
      </c>
      <c r="N49" s="122"/>
      <c r="O49" s="122">
        <v>1</v>
      </c>
      <c r="P49" s="122">
        <v>1</v>
      </c>
      <c r="Q49" s="123">
        <v>1</v>
      </c>
      <c r="R49" s="122"/>
      <c r="S49" s="122">
        <v>1</v>
      </c>
      <c r="T49" s="122">
        <v>1</v>
      </c>
      <c r="U49" s="122"/>
      <c r="V49" s="122"/>
      <c r="W49" s="124"/>
      <c r="X49" s="129"/>
      <c r="Y49" s="129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59"/>
      <c r="AT49" s="146"/>
      <c r="AU49" s="149"/>
      <c r="AV49" s="117"/>
      <c r="AW49" s="118"/>
      <c r="AX49" s="118"/>
      <c r="AY49" s="118"/>
      <c r="AZ49" s="119"/>
      <c r="BA49" s="134"/>
      <c r="BB49" s="120"/>
      <c r="BC49" s="118"/>
      <c r="BD49" s="118"/>
      <c r="BE49" s="119"/>
      <c r="BF49" s="119"/>
      <c r="BG49" s="137"/>
      <c r="BH49" s="140"/>
      <c r="BI49" s="143"/>
      <c r="BJ49" s="46"/>
    </row>
    <row r="50" spans="1:62" ht="20.45" customHeight="1">
      <c r="A50" s="160">
        <f>A47+1</f>
        <v>17</v>
      </c>
      <c r="B50" s="163" t="s">
        <v>128</v>
      </c>
      <c r="C50" s="166" t="s">
        <v>252</v>
      </c>
      <c r="D50" s="180" t="s">
        <v>234</v>
      </c>
      <c r="E50" s="169" t="s">
        <v>101</v>
      </c>
      <c r="F50" s="172" t="s">
        <v>129</v>
      </c>
      <c r="G50" s="175"/>
      <c r="H50" s="178"/>
      <c r="I50" s="152" t="s">
        <v>130</v>
      </c>
      <c r="J50" s="179" t="s">
        <v>131</v>
      </c>
      <c r="K50" s="179" t="s">
        <v>132</v>
      </c>
      <c r="L50" s="154" t="s">
        <v>99</v>
      </c>
      <c r="M50" s="103" t="s">
        <v>49</v>
      </c>
      <c r="N50" s="33"/>
      <c r="O50" s="33">
        <v>0.33333333333333331</v>
      </c>
      <c r="P50" s="33"/>
      <c r="Q50" s="33">
        <v>0.33333333333333331</v>
      </c>
      <c r="R50" s="34"/>
      <c r="S50" s="33">
        <v>0.33333333333333331</v>
      </c>
      <c r="T50" s="33">
        <v>0.33333333333333331</v>
      </c>
      <c r="U50" s="33">
        <v>0.33333333333333331</v>
      </c>
      <c r="V50" s="33">
        <v>0.33333333333333331</v>
      </c>
      <c r="W50" s="33">
        <v>0.33333333333333331</v>
      </c>
      <c r="X50" s="127">
        <v>0.33333333333333331</v>
      </c>
      <c r="Y50" s="33">
        <v>0.33333333333333331</v>
      </c>
      <c r="Z50" s="33">
        <v>0.33333333333333331</v>
      </c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157">
        <f>SUMPRODUCT(--((N50:AR50&lt;&gt;"")+(N51:AR51&lt;&gt;"")&gt;0))</f>
        <v>10</v>
      </c>
      <c r="AT50" s="144" t="str">
        <f>IF(OR(E50="일용",E50="사업"&amp;CHAR(10)&amp;"소득"),"일당",IF(E50="시급","시급",IF(E50="월급","월급","")))</f>
        <v>일당</v>
      </c>
      <c r="AU50" s="147">
        <v>150000</v>
      </c>
      <c r="AV50" s="104"/>
      <c r="AW50" s="93"/>
      <c r="AX50" s="93"/>
      <c r="AY50" s="93"/>
      <c r="AZ50" s="105"/>
      <c r="BA50" s="132">
        <f t="shared" ref="BA50" si="6">AS50*AU50</f>
        <v>1500000</v>
      </c>
      <c r="BB50" s="106"/>
      <c r="BC50" s="93"/>
      <c r="BD50" s="93"/>
      <c r="BE50" s="105"/>
      <c r="BF50" s="105"/>
      <c r="BG50" s="135">
        <f>SUM(BB50:BF51)</f>
        <v>0</v>
      </c>
      <c r="BH50" s="138">
        <f>BA50-BG50</f>
        <v>1500000</v>
      </c>
      <c r="BI50" s="141"/>
      <c r="BJ50" s="19"/>
    </row>
    <row r="51" spans="1:62" ht="20.45" customHeight="1">
      <c r="A51" s="161"/>
      <c r="B51" s="164"/>
      <c r="C51" s="167"/>
      <c r="D51" s="151"/>
      <c r="E51" s="170"/>
      <c r="F51" s="173"/>
      <c r="G51" s="176"/>
      <c r="H51" s="153"/>
      <c r="I51" s="153"/>
      <c r="J51" s="153"/>
      <c r="K51" s="153"/>
      <c r="L51" s="155"/>
      <c r="M51" s="107" t="s">
        <v>50</v>
      </c>
      <c r="N51" s="108"/>
      <c r="O51" s="108">
        <v>0.66666666666666663</v>
      </c>
      <c r="P51" s="108"/>
      <c r="Q51" s="109">
        <v>0.70833333333333337</v>
      </c>
      <c r="R51" s="108"/>
      <c r="S51" s="40">
        <v>0.70833333333333337</v>
      </c>
      <c r="T51" s="40">
        <v>0.70833333333333337</v>
      </c>
      <c r="U51" s="40">
        <v>0.70833333333333337</v>
      </c>
      <c r="V51" s="40">
        <v>0.66666666666666663</v>
      </c>
      <c r="W51" s="40">
        <v>0.64583333333333337</v>
      </c>
      <c r="X51" s="128">
        <v>0.70833333333333337</v>
      </c>
      <c r="Y51" s="40">
        <v>0.70833333333333337</v>
      </c>
      <c r="Z51" s="40">
        <v>0.70833333333333337</v>
      </c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58"/>
      <c r="AT51" s="145"/>
      <c r="AU51" s="148"/>
      <c r="AV51" s="111"/>
      <c r="AW51" s="112"/>
      <c r="AX51" s="112"/>
      <c r="AY51" s="112"/>
      <c r="AZ51" s="113"/>
      <c r="BA51" s="133"/>
      <c r="BB51" s="114"/>
      <c r="BC51" s="112"/>
      <c r="BD51" s="112"/>
      <c r="BE51" s="113"/>
      <c r="BF51" s="113"/>
      <c r="BG51" s="136"/>
      <c r="BH51" s="139"/>
      <c r="BI51" s="142"/>
      <c r="BJ51" s="19"/>
    </row>
    <row r="52" spans="1:62" ht="20.45" customHeight="1">
      <c r="A52" s="162"/>
      <c r="B52" s="165"/>
      <c r="C52" s="168"/>
      <c r="D52" s="116" t="s">
        <v>251</v>
      </c>
      <c r="E52" s="171"/>
      <c r="F52" s="174"/>
      <c r="G52" s="177"/>
      <c r="H52" s="115"/>
      <c r="I52" s="115"/>
      <c r="J52" s="115"/>
      <c r="K52" s="115"/>
      <c r="L52" s="156"/>
      <c r="M52" s="121" t="s">
        <v>241</v>
      </c>
      <c r="N52" s="122"/>
      <c r="O52" s="122">
        <v>1</v>
      </c>
      <c r="P52" s="122"/>
      <c r="Q52" s="123">
        <v>1</v>
      </c>
      <c r="R52" s="122"/>
      <c r="S52" s="122">
        <v>1</v>
      </c>
      <c r="T52" s="122">
        <v>1</v>
      </c>
      <c r="U52" s="122"/>
      <c r="V52" s="122"/>
      <c r="W52" s="124"/>
      <c r="X52" s="129"/>
      <c r="Y52" s="129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59"/>
      <c r="AT52" s="146"/>
      <c r="AU52" s="149"/>
      <c r="AV52" s="117"/>
      <c r="AW52" s="118"/>
      <c r="AX52" s="118"/>
      <c r="AY52" s="118"/>
      <c r="AZ52" s="119"/>
      <c r="BA52" s="134"/>
      <c r="BB52" s="120"/>
      <c r="BC52" s="118"/>
      <c r="BD52" s="118"/>
      <c r="BE52" s="119"/>
      <c r="BF52" s="119"/>
      <c r="BG52" s="137"/>
      <c r="BH52" s="140"/>
      <c r="BI52" s="143"/>
      <c r="BJ52" s="19"/>
    </row>
    <row r="53" spans="1:62" ht="20.45" customHeight="1">
      <c r="A53" s="160">
        <f>A50+1</f>
        <v>18</v>
      </c>
      <c r="B53" s="163" t="s">
        <v>133</v>
      </c>
      <c r="C53" s="166" t="s">
        <v>235</v>
      </c>
      <c r="D53" s="150" t="s">
        <v>236</v>
      </c>
      <c r="E53" s="169" t="s">
        <v>101</v>
      </c>
      <c r="F53" s="172" t="s">
        <v>134</v>
      </c>
      <c r="G53" s="175"/>
      <c r="H53" s="178"/>
      <c r="I53" s="152" t="s">
        <v>135</v>
      </c>
      <c r="J53" s="179" t="s">
        <v>136</v>
      </c>
      <c r="K53" s="179" t="s">
        <v>137</v>
      </c>
      <c r="L53" s="154" t="s">
        <v>95</v>
      </c>
      <c r="M53" s="103" t="s">
        <v>49</v>
      </c>
      <c r="N53" s="33"/>
      <c r="O53" s="33"/>
      <c r="P53" s="33">
        <v>0.33333333333333331</v>
      </c>
      <c r="Q53" s="33">
        <v>0.33333333333333331</v>
      </c>
      <c r="R53" s="34"/>
      <c r="S53" s="33"/>
      <c r="T53" s="33">
        <v>0.33333333333333331</v>
      </c>
      <c r="U53" s="33">
        <v>0.33333333333333331</v>
      </c>
      <c r="V53" s="33">
        <v>0.33333333333333331</v>
      </c>
      <c r="W53" s="33">
        <v>0.33333333333333331</v>
      </c>
      <c r="X53" s="127"/>
      <c r="Y53" s="33">
        <v>0.33333333333333331</v>
      </c>
      <c r="Z53" s="33">
        <v>0.33333333333333331</v>
      </c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157">
        <f>SUMPRODUCT(--((N53:AR53&lt;&gt;"")+(N54:AR54&lt;&gt;"")&gt;0))</f>
        <v>8</v>
      </c>
      <c r="AT53" s="144" t="str">
        <f>IF(OR(E53="일용",E53="사업"&amp;CHAR(10)&amp;"소득"),"일당",IF(E53="시급","시급",IF(E53="월급","월급","")))</f>
        <v>일당</v>
      </c>
      <c r="AU53" s="147">
        <v>150000</v>
      </c>
      <c r="AV53" s="104"/>
      <c r="AW53" s="93"/>
      <c r="AX53" s="93"/>
      <c r="AY53" s="93"/>
      <c r="AZ53" s="105"/>
      <c r="BA53" s="132">
        <f t="shared" ref="BA53" si="7">AS53*AU53</f>
        <v>1200000</v>
      </c>
      <c r="BB53" s="106"/>
      <c r="BC53" s="93"/>
      <c r="BD53" s="93"/>
      <c r="BE53" s="105"/>
      <c r="BF53" s="105"/>
      <c r="BG53" s="135">
        <f>SUM(BB53:BF54)</f>
        <v>0</v>
      </c>
      <c r="BH53" s="138">
        <f>BA53-BG53</f>
        <v>1200000</v>
      </c>
      <c r="BI53" s="141"/>
      <c r="BJ53" s="46"/>
    </row>
    <row r="54" spans="1:62" ht="20.45" customHeight="1">
      <c r="A54" s="161"/>
      <c r="B54" s="164"/>
      <c r="C54" s="167"/>
      <c r="D54" s="151"/>
      <c r="E54" s="170"/>
      <c r="F54" s="173"/>
      <c r="G54" s="176"/>
      <c r="H54" s="153"/>
      <c r="I54" s="153"/>
      <c r="J54" s="153"/>
      <c r="K54" s="153"/>
      <c r="L54" s="155"/>
      <c r="M54" s="107" t="s">
        <v>50</v>
      </c>
      <c r="N54" s="108"/>
      <c r="O54" s="108"/>
      <c r="P54" s="108">
        <v>0.64583333333333337</v>
      </c>
      <c r="Q54" s="109">
        <v>0.70833333333333337</v>
      </c>
      <c r="R54" s="108"/>
      <c r="S54" s="108"/>
      <c r="T54" s="40">
        <v>0.70833333333333337</v>
      </c>
      <c r="U54" s="40">
        <v>0.70833333333333337</v>
      </c>
      <c r="V54" s="40">
        <v>0.66666666666666663</v>
      </c>
      <c r="W54" s="40">
        <v>0.64583333333333337</v>
      </c>
      <c r="X54" s="128"/>
      <c r="Y54" s="40">
        <v>0.70833333333333337</v>
      </c>
      <c r="Z54" s="40">
        <v>0.70833333333333337</v>
      </c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58"/>
      <c r="AT54" s="145"/>
      <c r="AU54" s="148"/>
      <c r="AV54" s="111"/>
      <c r="AW54" s="112"/>
      <c r="AX54" s="112"/>
      <c r="AY54" s="112"/>
      <c r="AZ54" s="113"/>
      <c r="BA54" s="133"/>
      <c r="BB54" s="114"/>
      <c r="BC54" s="112"/>
      <c r="BD54" s="112"/>
      <c r="BE54" s="113"/>
      <c r="BF54" s="113"/>
      <c r="BG54" s="136"/>
      <c r="BH54" s="139"/>
      <c r="BI54" s="142"/>
      <c r="BJ54" s="19"/>
    </row>
    <row r="55" spans="1:62" ht="20.45" customHeight="1">
      <c r="A55" s="162"/>
      <c r="B55" s="165"/>
      <c r="C55" s="168"/>
      <c r="D55" s="116"/>
      <c r="E55" s="171"/>
      <c r="F55" s="174"/>
      <c r="G55" s="177"/>
      <c r="H55" s="115"/>
      <c r="I55" s="115"/>
      <c r="J55" s="115"/>
      <c r="K55" s="115"/>
      <c r="L55" s="156"/>
      <c r="M55" s="121" t="s">
        <v>241</v>
      </c>
      <c r="N55" s="122"/>
      <c r="O55" s="122"/>
      <c r="P55" s="122">
        <v>1</v>
      </c>
      <c r="Q55" s="123">
        <v>1</v>
      </c>
      <c r="R55" s="122"/>
      <c r="S55" s="122"/>
      <c r="T55" s="122">
        <v>1</v>
      </c>
      <c r="U55" s="122"/>
      <c r="V55" s="122"/>
      <c r="W55" s="124"/>
      <c r="X55" s="129"/>
      <c r="Y55" s="129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59"/>
      <c r="AT55" s="146"/>
      <c r="AU55" s="149"/>
      <c r="AV55" s="117"/>
      <c r="AW55" s="118"/>
      <c r="AX55" s="118"/>
      <c r="AY55" s="118"/>
      <c r="AZ55" s="119"/>
      <c r="BA55" s="134"/>
      <c r="BB55" s="120"/>
      <c r="BC55" s="118"/>
      <c r="BD55" s="118"/>
      <c r="BE55" s="119"/>
      <c r="BF55" s="119"/>
      <c r="BG55" s="137"/>
      <c r="BH55" s="140"/>
      <c r="BI55" s="143"/>
      <c r="BJ55" s="19"/>
    </row>
    <row r="56" spans="1:62" ht="20.45" customHeight="1">
      <c r="A56" s="160">
        <f>A53+1</f>
        <v>19</v>
      </c>
      <c r="B56" s="163" t="s">
        <v>138</v>
      </c>
      <c r="C56" s="166" t="s">
        <v>237</v>
      </c>
      <c r="D56" s="150" t="s">
        <v>238</v>
      </c>
      <c r="E56" s="169" t="s">
        <v>101</v>
      </c>
      <c r="F56" s="172" t="s">
        <v>139</v>
      </c>
      <c r="G56" s="175"/>
      <c r="H56" s="178"/>
      <c r="I56" s="152" t="s">
        <v>140</v>
      </c>
      <c r="J56" s="179" t="s">
        <v>141</v>
      </c>
      <c r="K56" s="179" t="s">
        <v>142</v>
      </c>
      <c r="L56" s="154" t="s">
        <v>99</v>
      </c>
      <c r="M56" s="103" t="s">
        <v>49</v>
      </c>
      <c r="N56" s="33"/>
      <c r="O56" s="33"/>
      <c r="P56" s="33"/>
      <c r="Q56" s="33"/>
      <c r="R56" s="34"/>
      <c r="S56" s="33"/>
      <c r="T56" s="33"/>
      <c r="U56" s="33"/>
      <c r="V56" s="33"/>
      <c r="W56" s="33"/>
      <c r="X56" s="127">
        <v>0.33333333333333331</v>
      </c>
      <c r="Y56" s="33">
        <v>0.33333333333333331</v>
      </c>
      <c r="Z56" s="33">
        <v>0.33333333333333331</v>
      </c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157">
        <f>SUMPRODUCT(--((N56:AR56&lt;&gt;"")+(N57:AR57&lt;&gt;"")&gt;0))</f>
        <v>3</v>
      </c>
      <c r="AT56" s="144" t="str">
        <f>IF(OR(E56="일용",E56="사업"&amp;CHAR(10)&amp;"소득"),"일당",IF(E56="시급","시급",IF(E56="월급","월급","")))</f>
        <v>일당</v>
      </c>
      <c r="AU56" s="147">
        <v>150000</v>
      </c>
      <c r="AV56" s="104"/>
      <c r="AW56" s="93"/>
      <c r="AX56" s="93"/>
      <c r="AY56" s="93"/>
      <c r="AZ56" s="105"/>
      <c r="BA56" s="132">
        <f t="shared" ref="BA56" si="8">AS56*AU56</f>
        <v>450000</v>
      </c>
      <c r="BB56" s="106"/>
      <c r="BC56" s="93"/>
      <c r="BD56" s="93"/>
      <c r="BE56" s="105"/>
      <c r="BF56" s="105"/>
      <c r="BG56" s="135">
        <f>SUM(BB56:BF57)</f>
        <v>0</v>
      </c>
      <c r="BH56" s="138">
        <f>BA56-BG56</f>
        <v>450000</v>
      </c>
      <c r="BI56" s="141"/>
      <c r="BJ56" s="206"/>
    </row>
    <row r="57" spans="1:62" ht="20.45" customHeight="1">
      <c r="A57" s="161"/>
      <c r="B57" s="164"/>
      <c r="C57" s="167"/>
      <c r="D57" s="151"/>
      <c r="E57" s="170"/>
      <c r="F57" s="173"/>
      <c r="G57" s="176"/>
      <c r="H57" s="153"/>
      <c r="I57" s="153"/>
      <c r="J57" s="153"/>
      <c r="K57" s="153"/>
      <c r="L57" s="155"/>
      <c r="M57" s="107" t="s">
        <v>50</v>
      </c>
      <c r="N57" s="108"/>
      <c r="O57" s="108"/>
      <c r="P57" s="108"/>
      <c r="Q57" s="109"/>
      <c r="R57" s="108"/>
      <c r="S57" s="108"/>
      <c r="T57" s="108"/>
      <c r="U57" s="108"/>
      <c r="V57" s="108"/>
      <c r="W57" s="110"/>
      <c r="X57" s="128">
        <v>0.70833333333333337</v>
      </c>
      <c r="Y57" s="128">
        <v>0.8125</v>
      </c>
      <c r="Z57" s="128">
        <v>0.8125</v>
      </c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58"/>
      <c r="AT57" s="145"/>
      <c r="AU57" s="148"/>
      <c r="AV57" s="111"/>
      <c r="AW57" s="112"/>
      <c r="AX57" s="112"/>
      <c r="AY57" s="112"/>
      <c r="AZ57" s="113"/>
      <c r="BA57" s="133"/>
      <c r="BB57" s="114"/>
      <c r="BC57" s="112"/>
      <c r="BD57" s="112"/>
      <c r="BE57" s="113"/>
      <c r="BF57" s="113"/>
      <c r="BG57" s="136"/>
      <c r="BH57" s="139"/>
      <c r="BI57" s="142"/>
      <c r="BJ57" s="207"/>
    </row>
    <row r="58" spans="1:62" ht="20.45" customHeight="1">
      <c r="A58" s="162"/>
      <c r="B58" s="165"/>
      <c r="C58" s="168"/>
      <c r="D58" s="116"/>
      <c r="E58" s="171"/>
      <c r="F58" s="174"/>
      <c r="G58" s="177"/>
      <c r="H58" s="115"/>
      <c r="I58" s="115"/>
      <c r="J58" s="115"/>
      <c r="K58" s="115"/>
      <c r="L58" s="156"/>
      <c r="M58" s="121" t="s">
        <v>241</v>
      </c>
      <c r="N58" s="122"/>
      <c r="O58" s="122"/>
      <c r="P58" s="122"/>
      <c r="Q58" s="123"/>
      <c r="R58" s="122"/>
      <c r="S58" s="122"/>
      <c r="T58" s="122"/>
      <c r="U58" s="122"/>
      <c r="V58" s="122"/>
      <c r="W58" s="124"/>
      <c r="X58" s="129"/>
      <c r="Y58" s="129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59"/>
      <c r="AT58" s="146"/>
      <c r="AU58" s="149"/>
      <c r="AV58" s="117"/>
      <c r="AW58" s="118"/>
      <c r="AX58" s="118"/>
      <c r="AY58" s="118"/>
      <c r="AZ58" s="119"/>
      <c r="BA58" s="134"/>
      <c r="BB58" s="120"/>
      <c r="BC58" s="118"/>
      <c r="BD58" s="118"/>
      <c r="BE58" s="119"/>
      <c r="BF58" s="119"/>
      <c r="BG58" s="137"/>
      <c r="BH58" s="140"/>
      <c r="BI58" s="143"/>
      <c r="BJ58" s="63"/>
    </row>
    <row r="59" spans="1:62" ht="20.45" customHeight="1">
      <c r="A59" s="160">
        <f>A56+1</f>
        <v>20</v>
      </c>
      <c r="B59" s="163" t="s">
        <v>143</v>
      </c>
      <c r="C59" s="166" t="s">
        <v>245</v>
      </c>
      <c r="D59" s="150"/>
      <c r="E59" s="169" t="s">
        <v>101</v>
      </c>
      <c r="F59" s="172" t="s">
        <v>144</v>
      </c>
      <c r="G59" s="175">
        <v>46146</v>
      </c>
      <c r="H59" s="178"/>
      <c r="I59" s="152" t="s">
        <v>145</v>
      </c>
      <c r="J59" s="179" t="s">
        <v>146</v>
      </c>
      <c r="K59" s="179" t="s">
        <v>147</v>
      </c>
      <c r="L59" s="154" t="s">
        <v>95</v>
      </c>
      <c r="M59" s="103" t="s">
        <v>49</v>
      </c>
      <c r="N59" s="33"/>
      <c r="O59" s="33"/>
      <c r="P59" s="33"/>
      <c r="Q59" s="33">
        <v>0.33333333333333331</v>
      </c>
      <c r="R59" s="34">
        <v>0.33333333333333331</v>
      </c>
      <c r="S59" s="33">
        <v>0.33333333333333331</v>
      </c>
      <c r="T59" s="33">
        <v>0.33333333333333331</v>
      </c>
      <c r="U59" s="33">
        <v>0.33333333333333331</v>
      </c>
      <c r="V59" s="33">
        <v>0.33333333333333331</v>
      </c>
      <c r="W59" s="33">
        <v>0.33333333333333331</v>
      </c>
      <c r="X59" s="127">
        <v>0.33333333333333331</v>
      </c>
      <c r="Y59" s="33">
        <v>0.33333333333333331</v>
      </c>
      <c r="Z59" s="33">
        <v>0.33333333333333331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157">
        <f>SUMPRODUCT(--((N59:AR59&lt;&gt;"")+(N60:AR60&lt;&gt;"")&gt;0))</f>
        <v>10</v>
      </c>
      <c r="AT59" s="144" t="str">
        <f>IF(OR(E59="일용",E59="사업"&amp;CHAR(10)&amp;"소득"),"일당",IF(E59="시급","시급",IF(E59="월급","월급","")))</f>
        <v>일당</v>
      </c>
      <c r="AU59" s="147">
        <v>180000</v>
      </c>
      <c r="AV59" s="104"/>
      <c r="AW59" s="93"/>
      <c r="AX59" s="93"/>
      <c r="AY59" s="93"/>
      <c r="AZ59" s="105"/>
      <c r="BA59" s="132">
        <f t="shared" ref="BA59" si="9">AS59*AU59</f>
        <v>1800000</v>
      </c>
      <c r="BB59" s="106"/>
      <c r="BC59" s="93"/>
      <c r="BD59" s="93"/>
      <c r="BE59" s="105"/>
      <c r="BF59" s="105"/>
      <c r="BG59" s="135">
        <f>SUM(BB59:BF60)</f>
        <v>0</v>
      </c>
      <c r="BH59" s="138">
        <f>BA59-BG59</f>
        <v>1800000</v>
      </c>
      <c r="BI59" s="141"/>
      <c r="BJ59" s="46"/>
    </row>
    <row r="60" spans="1:62" ht="20.45" customHeight="1">
      <c r="A60" s="161"/>
      <c r="B60" s="164"/>
      <c r="C60" s="167"/>
      <c r="D60" s="151"/>
      <c r="E60" s="170"/>
      <c r="F60" s="173"/>
      <c r="G60" s="176"/>
      <c r="H60" s="153"/>
      <c r="I60" s="153"/>
      <c r="J60" s="153"/>
      <c r="K60" s="153"/>
      <c r="L60" s="155"/>
      <c r="M60" s="107" t="s">
        <v>50</v>
      </c>
      <c r="N60" s="108"/>
      <c r="O60" s="108"/>
      <c r="P60" s="108"/>
      <c r="Q60" s="109">
        <v>0.70833333333333337</v>
      </c>
      <c r="R60" s="108">
        <v>0.66666666666666663</v>
      </c>
      <c r="S60" s="40">
        <v>0.70833333333333337</v>
      </c>
      <c r="T60" s="40">
        <v>0.70833333333333337</v>
      </c>
      <c r="U60" s="40">
        <v>0.70833333333333337</v>
      </c>
      <c r="V60" s="40">
        <v>0.66666666666666663</v>
      </c>
      <c r="W60" s="40">
        <v>0.64583333333333337</v>
      </c>
      <c r="X60" s="128">
        <v>0.8125</v>
      </c>
      <c r="Y60" s="128">
        <v>0.8125</v>
      </c>
      <c r="Z60" s="128">
        <v>0.8125</v>
      </c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58"/>
      <c r="AT60" s="145"/>
      <c r="AU60" s="148"/>
      <c r="AV60" s="111"/>
      <c r="AW60" s="112"/>
      <c r="AX60" s="112"/>
      <c r="AY60" s="112"/>
      <c r="AZ60" s="113"/>
      <c r="BA60" s="133"/>
      <c r="BB60" s="114"/>
      <c r="BC60" s="112"/>
      <c r="BD60" s="112"/>
      <c r="BE60" s="113"/>
      <c r="BF60" s="113"/>
      <c r="BG60" s="136"/>
      <c r="BH60" s="139"/>
      <c r="BI60" s="142"/>
      <c r="BJ60" s="46"/>
    </row>
    <row r="61" spans="1:62" ht="20.45" customHeight="1">
      <c r="A61" s="162"/>
      <c r="B61" s="165"/>
      <c r="C61" s="168"/>
      <c r="D61" s="116"/>
      <c r="E61" s="171"/>
      <c r="F61" s="174"/>
      <c r="G61" s="177"/>
      <c r="H61" s="115"/>
      <c r="I61" s="115"/>
      <c r="J61" s="115"/>
      <c r="K61" s="115"/>
      <c r="L61" s="156"/>
      <c r="M61" s="121" t="s">
        <v>241</v>
      </c>
      <c r="N61" s="122"/>
      <c r="O61" s="122"/>
      <c r="P61" s="122"/>
      <c r="Q61" s="123">
        <v>1</v>
      </c>
      <c r="R61" s="122">
        <v>1</v>
      </c>
      <c r="S61" s="122">
        <v>1</v>
      </c>
      <c r="T61" s="122">
        <v>1</v>
      </c>
      <c r="U61" s="122"/>
      <c r="V61" s="122"/>
      <c r="W61" s="124"/>
      <c r="X61" s="129"/>
      <c r="Y61" s="129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59"/>
      <c r="AT61" s="146"/>
      <c r="AU61" s="149"/>
      <c r="AV61" s="117"/>
      <c r="AW61" s="118"/>
      <c r="AX61" s="118"/>
      <c r="AY61" s="118"/>
      <c r="AZ61" s="119"/>
      <c r="BA61" s="134"/>
      <c r="BB61" s="120"/>
      <c r="BC61" s="118"/>
      <c r="BD61" s="118"/>
      <c r="BE61" s="119"/>
      <c r="BF61" s="119"/>
      <c r="BG61" s="137"/>
      <c r="BH61" s="140"/>
      <c r="BI61" s="143"/>
      <c r="BJ61" s="46"/>
    </row>
    <row r="62" spans="1:62" ht="20.45" customHeight="1">
      <c r="A62" s="160">
        <f>A59+1</f>
        <v>21</v>
      </c>
      <c r="B62" s="163" t="s">
        <v>148</v>
      </c>
      <c r="C62" s="166" t="s">
        <v>246</v>
      </c>
      <c r="D62" s="150"/>
      <c r="E62" s="169" t="s">
        <v>101</v>
      </c>
      <c r="F62" s="172" t="s">
        <v>149</v>
      </c>
      <c r="G62" s="175"/>
      <c r="H62" s="178"/>
      <c r="I62" s="152" t="s">
        <v>150</v>
      </c>
      <c r="J62" s="179" t="s">
        <v>151</v>
      </c>
      <c r="K62" s="179"/>
      <c r="L62" s="154" t="s">
        <v>48</v>
      </c>
      <c r="M62" s="103" t="s">
        <v>49</v>
      </c>
      <c r="N62" s="33"/>
      <c r="O62" s="33"/>
      <c r="P62" s="33"/>
      <c r="Q62" s="33"/>
      <c r="R62" s="34"/>
      <c r="S62" s="33"/>
      <c r="T62" s="33"/>
      <c r="U62" s="33"/>
      <c r="V62" s="33"/>
      <c r="W62" s="33"/>
      <c r="X62" s="127"/>
      <c r="Y62" s="127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157">
        <f>SUMPRODUCT(--((N62:AR62&lt;&gt;"")+(N63:AR63&lt;&gt;"")&gt;0))</f>
        <v>0</v>
      </c>
      <c r="AT62" s="144" t="str">
        <f>IF(OR(E62="일용",E62="사업"&amp;CHAR(10)&amp;"소득"),"일당",IF(E62="시급","시급",IF(E62="월급","월급","")))</f>
        <v>일당</v>
      </c>
      <c r="AU62" s="147">
        <v>200000</v>
      </c>
      <c r="AV62" s="104"/>
      <c r="AW62" s="93"/>
      <c r="AX62" s="93"/>
      <c r="AY62" s="93"/>
      <c r="AZ62" s="105"/>
      <c r="BA62" s="132">
        <f t="shared" ref="BA62" si="10">AS62*AU62</f>
        <v>0</v>
      </c>
      <c r="BB62" s="106"/>
      <c r="BC62" s="93"/>
      <c r="BD62" s="93"/>
      <c r="BE62" s="105"/>
      <c r="BF62" s="105"/>
      <c r="BG62" s="135">
        <f>SUM(BB62:BF63)</f>
        <v>0</v>
      </c>
      <c r="BH62" s="138">
        <f>BA62-BG62</f>
        <v>0</v>
      </c>
      <c r="BI62" s="141"/>
      <c r="BJ62" s="19"/>
    </row>
    <row r="63" spans="1:62" ht="20.45" customHeight="1">
      <c r="A63" s="161"/>
      <c r="B63" s="164"/>
      <c r="C63" s="167"/>
      <c r="D63" s="151"/>
      <c r="E63" s="170"/>
      <c r="F63" s="173"/>
      <c r="G63" s="176"/>
      <c r="H63" s="153"/>
      <c r="I63" s="153"/>
      <c r="J63" s="153"/>
      <c r="K63" s="153"/>
      <c r="L63" s="155"/>
      <c r="M63" s="107" t="s">
        <v>50</v>
      </c>
      <c r="N63" s="108"/>
      <c r="O63" s="108"/>
      <c r="P63" s="108"/>
      <c r="Q63" s="109"/>
      <c r="R63" s="108"/>
      <c r="S63" s="108"/>
      <c r="T63" s="108"/>
      <c r="U63" s="108"/>
      <c r="V63" s="108"/>
      <c r="W63" s="110"/>
      <c r="X63" s="130"/>
      <c r="Y63" s="130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58"/>
      <c r="AT63" s="145"/>
      <c r="AU63" s="148"/>
      <c r="AV63" s="111"/>
      <c r="AW63" s="112"/>
      <c r="AX63" s="112"/>
      <c r="AY63" s="112"/>
      <c r="AZ63" s="113"/>
      <c r="BA63" s="133"/>
      <c r="BB63" s="114"/>
      <c r="BC63" s="112"/>
      <c r="BD63" s="112"/>
      <c r="BE63" s="113"/>
      <c r="BF63" s="113"/>
      <c r="BG63" s="136"/>
      <c r="BH63" s="139"/>
      <c r="BI63" s="142"/>
      <c r="BJ63" s="19"/>
    </row>
    <row r="64" spans="1:62" ht="20.45" customHeight="1">
      <c r="A64" s="162"/>
      <c r="B64" s="165"/>
      <c r="C64" s="168"/>
      <c r="D64" s="116"/>
      <c r="E64" s="171"/>
      <c r="F64" s="174"/>
      <c r="G64" s="177"/>
      <c r="H64" s="115"/>
      <c r="I64" s="115"/>
      <c r="J64" s="115"/>
      <c r="K64" s="115"/>
      <c r="L64" s="156"/>
      <c r="M64" s="121" t="s">
        <v>241</v>
      </c>
      <c r="N64" s="122"/>
      <c r="O64" s="122"/>
      <c r="P64" s="122"/>
      <c r="Q64" s="123"/>
      <c r="R64" s="122"/>
      <c r="S64" s="122"/>
      <c r="T64" s="122"/>
      <c r="U64" s="122"/>
      <c r="V64" s="122"/>
      <c r="W64" s="124"/>
      <c r="X64" s="129"/>
      <c r="Y64" s="129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59"/>
      <c r="AT64" s="146"/>
      <c r="AU64" s="149"/>
      <c r="AV64" s="117"/>
      <c r="AW64" s="118"/>
      <c r="AX64" s="118"/>
      <c r="AY64" s="118"/>
      <c r="AZ64" s="119"/>
      <c r="BA64" s="134"/>
      <c r="BB64" s="120"/>
      <c r="BC64" s="118"/>
      <c r="BD64" s="118"/>
      <c r="BE64" s="119"/>
      <c r="BF64" s="119"/>
      <c r="BG64" s="137"/>
      <c r="BH64" s="140"/>
      <c r="BI64" s="143"/>
      <c r="BJ64" s="19"/>
    </row>
    <row r="65" spans="1:62" ht="20.45" customHeight="1">
      <c r="A65" s="160">
        <f>A62+1</f>
        <v>22</v>
      </c>
      <c r="B65" s="163" t="s">
        <v>152</v>
      </c>
      <c r="C65" s="166" t="s">
        <v>239</v>
      </c>
      <c r="D65" s="150" t="s">
        <v>240</v>
      </c>
      <c r="E65" s="169" t="s">
        <v>101</v>
      </c>
      <c r="F65" s="172" t="s">
        <v>255</v>
      </c>
      <c r="G65" s="175"/>
      <c r="H65" s="178"/>
      <c r="I65" s="152" t="s">
        <v>153</v>
      </c>
      <c r="J65" s="179" t="s">
        <v>154</v>
      </c>
      <c r="K65" s="179" t="s">
        <v>155</v>
      </c>
      <c r="L65" s="154" t="s">
        <v>86</v>
      </c>
      <c r="M65" s="103" t="s">
        <v>49</v>
      </c>
      <c r="N65" s="33"/>
      <c r="O65" s="33"/>
      <c r="P65" s="33"/>
      <c r="Q65" s="33"/>
      <c r="R65" s="34"/>
      <c r="S65" s="33"/>
      <c r="T65" s="33"/>
      <c r="U65" s="33"/>
      <c r="V65" s="33"/>
      <c r="W65" s="33"/>
      <c r="X65" s="127"/>
      <c r="Y65" s="127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157">
        <f>SUMPRODUCT(--((N65:AR65&lt;&gt;"")+(N66:AR66&lt;&gt;"")&gt;0))</f>
        <v>0</v>
      </c>
      <c r="AT65" s="144" t="str">
        <f>IF(OR(E65="일용",E65="사업"&amp;CHAR(10)&amp;"소득"),"일당",IF(E65="시급","시급",IF(E65="월급","월급","")))</f>
        <v>일당</v>
      </c>
      <c r="AU65" s="147">
        <v>130000</v>
      </c>
      <c r="AV65" s="104"/>
      <c r="AW65" s="93"/>
      <c r="AX65" s="93"/>
      <c r="AY65" s="93"/>
      <c r="AZ65" s="105"/>
      <c r="BA65" s="132">
        <f t="shared" ref="BA65" si="11">AS65*AU65</f>
        <v>0</v>
      </c>
      <c r="BB65" s="106"/>
      <c r="BC65" s="93"/>
      <c r="BD65" s="93"/>
      <c r="BE65" s="105"/>
      <c r="BF65" s="105"/>
      <c r="BG65" s="135">
        <f>SUM(BB65:BF66)</f>
        <v>0</v>
      </c>
      <c r="BH65" s="138">
        <f>BA65-BG65</f>
        <v>0</v>
      </c>
      <c r="BI65" s="141"/>
      <c r="BJ65" s="46"/>
    </row>
    <row r="66" spans="1:62" ht="20.45" customHeight="1">
      <c r="A66" s="161"/>
      <c r="B66" s="164"/>
      <c r="C66" s="167"/>
      <c r="D66" s="151"/>
      <c r="E66" s="170"/>
      <c r="F66" s="173"/>
      <c r="G66" s="176"/>
      <c r="H66" s="153"/>
      <c r="I66" s="153"/>
      <c r="J66" s="153"/>
      <c r="K66" s="153"/>
      <c r="L66" s="155"/>
      <c r="M66" s="107" t="s">
        <v>50</v>
      </c>
      <c r="N66" s="108"/>
      <c r="O66" s="108"/>
      <c r="P66" s="108"/>
      <c r="Q66" s="109"/>
      <c r="R66" s="108"/>
      <c r="S66" s="108"/>
      <c r="T66" s="108"/>
      <c r="U66" s="108"/>
      <c r="V66" s="108"/>
      <c r="W66" s="110"/>
      <c r="X66" s="130"/>
      <c r="Y66" s="130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58"/>
      <c r="AT66" s="145"/>
      <c r="AU66" s="148"/>
      <c r="AV66" s="111"/>
      <c r="AW66" s="112"/>
      <c r="AX66" s="112"/>
      <c r="AY66" s="112"/>
      <c r="AZ66" s="113"/>
      <c r="BA66" s="133"/>
      <c r="BB66" s="114"/>
      <c r="BC66" s="112"/>
      <c r="BD66" s="112"/>
      <c r="BE66" s="113"/>
      <c r="BF66" s="113"/>
      <c r="BG66" s="136"/>
      <c r="BH66" s="139"/>
      <c r="BI66" s="142"/>
      <c r="BJ66" s="19"/>
    </row>
    <row r="67" spans="1:62" ht="20.45" customHeight="1">
      <c r="A67" s="162"/>
      <c r="B67" s="165"/>
      <c r="C67" s="168"/>
      <c r="D67" s="116"/>
      <c r="E67" s="171"/>
      <c r="F67" s="174"/>
      <c r="G67" s="177"/>
      <c r="H67" s="115"/>
      <c r="I67" s="115"/>
      <c r="J67" s="115"/>
      <c r="K67" s="115"/>
      <c r="L67" s="156"/>
      <c r="M67" s="121" t="s">
        <v>241</v>
      </c>
      <c r="N67" s="122"/>
      <c r="O67" s="122"/>
      <c r="P67" s="122"/>
      <c r="Q67" s="123"/>
      <c r="R67" s="122"/>
      <c r="S67" s="122"/>
      <c r="T67" s="122"/>
      <c r="U67" s="122"/>
      <c r="V67" s="122"/>
      <c r="W67" s="124"/>
      <c r="X67" s="129"/>
      <c r="Y67" s="129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59"/>
      <c r="AT67" s="146"/>
      <c r="AU67" s="149"/>
      <c r="AV67" s="117"/>
      <c r="AW67" s="118"/>
      <c r="AX67" s="118"/>
      <c r="AY67" s="118"/>
      <c r="AZ67" s="119"/>
      <c r="BA67" s="134"/>
      <c r="BB67" s="120"/>
      <c r="BC67" s="118"/>
      <c r="BD67" s="118"/>
      <c r="BE67" s="119"/>
      <c r="BF67" s="119"/>
      <c r="BG67" s="137"/>
      <c r="BH67" s="140"/>
      <c r="BI67" s="143"/>
      <c r="BJ67" s="19"/>
    </row>
    <row r="68" spans="1:62" ht="20.45" customHeight="1">
      <c r="A68" s="160">
        <f>A62+1</f>
        <v>22</v>
      </c>
      <c r="B68" s="163"/>
      <c r="C68" s="166"/>
      <c r="D68" s="150"/>
      <c r="E68" s="169"/>
      <c r="F68" s="172"/>
      <c r="G68" s="175"/>
      <c r="H68" s="178"/>
      <c r="I68" s="152"/>
      <c r="J68" s="179"/>
      <c r="K68" s="179"/>
      <c r="L68" s="154"/>
      <c r="M68" s="103" t="s">
        <v>49</v>
      </c>
      <c r="N68" s="33"/>
      <c r="O68" s="33"/>
      <c r="P68" s="33"/>
      <c r="Q68" s="33"/>
      <c r="R68" s="34"/>
      <c r="S68" s="33"/>
      <c r="T68" s="33"/>
      <c r="U68" s="33"/>
      <c r="V68" s="33"/>
      <c r="W68" s="33"/>
      <c r="X68" s="127"/>
      <c r="Y68" s="127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157">
        <f t="shared" ref="AS68" si="12">SUMPRODUCT(--((N68:AR68&lt;&gt;"")+(N69:AR69&lt;&gt;"")&gt;0))</f>
        <v>0</v>
      </c>
      <c r="AT68" s="144"/>
      <c r="AU68" s="147"/>
      <c r="AV68" s="104"/>
      <c r="AW68" s="93"/>
      <c r="AX68" s="93"/>
      <c r="AY68" s="93"/>
      <c r="AZ68" s="105"/>
      <c r="BA68" s="132">
        <f t="shared" ref="BA68" si="13">AS68*AU68</f>
        <v>0</v>
      </c>
      <c r="BB68" s="106"/>
      <c r="BC68" s="93"/>
      <c r="BD68" s="93"/>
      <c r="BE68" s="105"/>
      <c r="BF68" s="105"/>
      <c r="BG68" s="135">
        <f>SUM(BB68:BF69)</f>
        <v>0</v>
      </c>
      <c r="BH68" s="138">
        <f>BA68-BG68</f>
        <v>0</v>
      </c>
      <c r="BI68" s="141"/>
      <c r="BJ68" s="46"/>
    </row>
    <row r="69" spans="1:62" ht="20.45" customHeight="1">
      <c r="A69" s="161"/>
      <c r="B69" s="164"/>
      <c r="C69" s="167"/>
      <c r="D69" s="151"/>
      <c r="E69" s="170"/>
      <c r="F69" s="173"/>
      <c r="G69" s="176"/>
      <c r="H69" s="153"/>
      <c r="I69" s="153"/>
      <c r="J69" s="153"/>
      <c r="K69" s="153"/>
      <c r="L69" s="155"/>
      <c r="M69" s="107" t="s">
        <v>50</v>
      </c>
      <c r="N69" s="108"/>
      <c r="O69" s="108"/>
      <c r="P69" s="108"/>
      <c r="Q69" s="109"/>
      <c r="R69" s="108"/>
      <c r="S69" s="108"/>
      <c r="T69" s="108"/>
      <c r="U69" s="108"/>
      <c r="V69" s="108"/>
      <c r="W69" s="110"/>
      <c r="X69" s="130"/>
      <c r="Y69" s="130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58"/>
      <c r="AT69" s="145"/>
      <c r="AU69" s="148"/>
      <c r="AV69" s="111"/>
      <c r="AW69" s="112"/>
      <c r="AX69" s="112"/>
      <c r="AY69" s="112"/>
      <c r="AZ69" s="113"/>
      <c r="BA69" s="133"/>
      <c r="BB69" s="114"/>
      <c r="BC69" s="112"/>
      <c r="BD69" s="112"/>
      <c r="BE69" s="113"/>
      <c r="BF69" s="113"/>
      <c r="BG69" s="136"/>
      <c r="BH69" s="139"/>
      <c r="BI69" s="142"/>
      <c r="BJ69" s="19"/>
    </row>
    <row r="70" spans="1:62" ht="20.45" customHeight="1">
      <c r="A70" s="162"/>
      <c r="B70" s="165"/>
      <c r="C70" s="168"/>
      <c r="D70" s="116"/>
      <c r="E70" s="171"/>
      <c r="F70" s="174"/>
      <c r="G70" s="177"/>
      <c r="H70" s="115"/>
      <c r="I70" s="115"/>
      <c r="J70" s="115"/>
      <c r="K70" s="115"/>
      <c r="L70" s="156"/>
      <c r="M70" s="121" t="s">
        <v>241</v>
      </c>
      <c r="N70" s="122"/>
      <c r="O70" s="122"/>
      <c r="P70" s="122"/>
      <c r="Q70" s="123"/>
      <c r="R70" s="122"/>
      <c r="S70" s="122"/>
      <c r="T70" s="122"/>
      <c r="U70" s="122"/>
      <c r="V70" s="122"/>
      <c r="W70" s="124"/>
      <c r="X70" s="129"/>
      <c r="Y70" s="129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59"/>
      <c r="AT70" s="146"/>
      <c r="AU70" s="149"/>
      <c r="AV70" s="117"/>
      <c r="AW70" s="118"/>
      <c r="AX70" s="118"/>
      <c r="AY70" s="118"/>
      <c r="AZ70" s="119"/>
      <c r="BA70" s="134"/>
      <c r="BB70" s="120"/>
      <c r="BC70" s="118"/>
      <c r="BD70" s="118"/>
      <c r="BE70" s="119"/>
      <c r="BF70" s="119"/>
      <c r="BG70" s="137"/>
      <c r="BH70" s="140"/>
      <c r="BI70" s="143"/>
      <c r="BJ70" s="19"/>
    </row>
    <row r="71" spans="1:62" ht="20.45" customHeight="1">
      <c r="A71" s="160">
        <f>A65+1</f>
        <v>23</v>
      </c>
      <c r="B71" s="163"/>
      <c r="C71" s="166"/>
      <c r="D71" s="150"/>
      <c r="E71" s="169"/>
      <c r="F71" s="172"/>
      <c r="G71" s="175"/>
      <c r="H71" s="178"/>
      <c r="I71" s="152"/>
      <c r="J71" s="179"/>
      <c r="K71" s="179"/>
      <c r="L71" s="154"/>
      <c r="M71" s="103" t="s">
        <v>49</v>
      </c>
      <c r="N71" s="33"/>
      <c r="O71" s="33"/>
      <c r="P71" s="33"/>
      <c r="Q71" s="33"/>
      <c r="R71" s="34"/>
      <c r="S71" s="33"/>
      <c r="T71" s="33"/>
      <c r="U71" s="33"/>
      <c r="V71" s="33"/>
      <c r="W71" s="33"/>
      <c r="X71" s="127"/>
      <c r="Y71" s="127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157">
        <f t="shared" ref="AS71" si="14">SUMPRODUCT(--((N71:AR71&lt;&gt;"")+(N72:AR72&lt;&gt;"")&gt;0))</f>
        <v>0</v>
      </c>
      <c r="AT71" s="144"/>
      <c r="AU71" s="147"/>
      <c r="AV71" s="104"/>
      <c r="AW71" s="93"/>
      <c r="AX71" s="93"/>
      <c r="AY71" s="93"/>
      <c r="AZ71" s="105"/>
      <c r="BA71" s="132">
        <f t="shared" ref="BA71" si="15">AS71*AU71</f>
        <v>0</v>
      </c>
      <c r="BB71" s="106"/>
      <c r="BC71" s="93"/>
      <c r="BD71" s="93"/>
      <c r="BE71" s="105"/>
      <c r="BF71" s="105"/>
      <c r="BG71" s="135">
        <f>SUM(BB71:BF72)</f>
        <v>0</v>
      </c>
      <c r="BH71" s="138">
        <f>BA71-BG71</f>
        <v>0</v>
      </c>
      <c r="BI71" s="141"/>
      <c r="BJ71" s="46"/>
    </row>
    <row r="72" spans="1:62" ht="20.45" customHeight="1">
      <c r="A72" s="161"/>
      <c r="B72" s="164"/>
      <c r="C72" s="167"/>
      <c r="D72" s="151"/>
      <c r="E72" s="170"/>
      <c r="F72" s="173"/>
      <c r="G72" s="176"/>
      <c r="H72" s="153"/>
      <c r="I72" s="153"/>
      <c r="J72" s="153"/>
      <c r="K72" s="153"/>
      <c r="L72" s="155"/>
      <c r="M72" s="107" t="s">
        <v>50</v>
      </c>
      <c r="N72" s="108"/>
      <c r="O72" s="108"/>
      <c r="P72" s="108"/>
      <c r="Q72" s="109"/>
      <c r="R72" s="108"/>
      <c r="S72" s="108"/>
      <c r="T72" s="108"/>
      <c r="U72" s="108"/>
      <c r="V72" s="108"/>
      <c r="W72" s="110"/>
      <c r="X72" s="130"/>
      <c r="Y72" s="130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58"/>
      <c r="AT72" s="145"/>
      <c r="AU72" s="148"/>
      <c r="AV72" s="111"/>
      <c r="AW72" s="112"/>
      <c r="AX72" s="112"/>
      <c r="AY72" s="112"/>
      <c r="AZ72" s="113"/>
      <c r="BA72" s="133"/>
      <c r="BB72" s="114"/>
      <c r="BC72" s="112"/>
      <c r="BD72" s="112"/>
      <c r="BE72" s="113"/>
      <c r="BF72" s="113"/>
      <c r="BG72" s="136"/>
      <c r="BH72" s="139"/>
      <c r="BI72" s="142"/>
      <c r="BJ72" s="19"/>
    </row>
    <row r="73" spans="1:62" ht="20.45" customHeight="1">
      <c r="A73" s="162"/>
      <c r="B73" s="165"/>
      <c r="C73" s="168"/>
      <c r="D73" s="116"/>
      <c r="E73" s="171"/>
      <c r="F73" s="174"/>
      <c r="G73" s="177"/>
      <c r="H73" s="115"/>
      <c r="I73" s="115"/>
      <c r="J73" s="115"/>
      <c r="K73" s="115"/>
      <c r="L73" s="156"/>
      <c r="M73" s="121" t="s">
        <v>241</v>
      </c>
      <c r="N73" s="122"/>
      <c r="O73" s="122"/>
      <c r="P73" s="122"/>
      <c r="Q73" s="123"/>
      <c r="R73" s="122"/>
      <c r="S73" s="122"/>
      <c r="T73" s="122"/>
      <c r="U73" s="122"/>
      <c r="V73" s="122"/>
      <c r="W73" s="124"/>
      <c r="X73" s="129"/>
      <c r="Y73" s="129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59"/>
      <c r="AT73" s="146"/>
      <c r="AU73" s="149"/>
      <c r="AV73" s="117"/>
      <c r="AW73" s="118"/>
      <c r="AX73" s="118"/>
      <c r="AY73" s="118"/>
      <c r="AZ73" s="119"/>
      <c r="BA73" s="134"/>
      <c r="BB73" s="120"/>
      <c r="BC73" s="118"/>
      <c r="BD73" s="118"/>
      <c r="BE73" s="119"/>
      <c r="BF73" s="119"/>
      <c r="BG73" s="137"/>
      <c r="BH73" s="140"/>
      <c r="BI73" s="143"/>
      <c r="BJ73" s="19"/>
    </row>
    <row r="74" spans="1:62" ht="20.45" customHeight="1">
      <c r="A74" s="160">
        <f>A68+1</f>
        <v>23</v>
      </c>
      <c r="B74" s="163"/>
      <c r="C74" s="166"/>
      <c r="D74" s="150"/>
      <c r="E74" s="169"/>
      <c r="F74" s="172"/>
      <c r="G74" s="175"/>
      <c r="H74" s="178"/>
      <c r="I74" s="152"/>
      <c r="J74" s="179"/>
      <c r="K74" s="179"/>
      <c r="L74" s="154"/>
      <c r="M74" s="103" t="s">
        <v>49</v>
      </c>
      <c r="N74" s="33"/>
      <c r="O74" s="33"/>
      <c r="P74" s="33"/>
      <c r="Q74" s="33"/>
      <c r="R74" s="34"/>
      <c r="S74" s="33"/>
      <c r="T74" s="33"/>
      <c r="U74" s="33"/>
      <c r="V74" s="33"/>
      <c r="W74" s="33"/>
      <c r="X74" s="127"/>
      <c r="Y74" s="127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157">
        <f t="shared" ref="AS74" si="16">SUMPRODUCT(--((N74:AR74&lt;&gt;"")+(N75:AR75&lt;&gt;"")&gt;0))</f>
        <v>0</v>
      </c>
      <c r="AT74" s="144"/>
      <c r="AU74" s="147"/>
      <c r="AV74" s="104"/>
      <c r="AW74" s="93"/>
      <c r="AX74" s="93"/>
      <c r="AY74" s="93"/>
      <c r="AZ74" s="105"/>
      <c r="BA74" s="132">
        <f t="shared" ref="BA74" si="17">AS74*AU74</f>
        <v>0</v>
      </c>
      <c r="BB74" s="106"/>
      <c r="BC74" s="93"/>
      <c r="BD74" s="93"/>
      <c r="BE74" s="105"/>
      <c r="BF74" s="105"/>
      <c r="BG74" s="135">
        <f>SUM(BB74:BF75)</f>
        <v>0</v>
      </c>
      <c r="BH74" s="138">
        <f>BA74-BG74</f>
        <v>0</v>
      </c>
      <c r="BI74" s="141"/>
      <c r="BJ74" s="46"/>
    </row>
    <row r="75" spans="1:62" ht="20.45" customHeight="1">
      <c r="A75" s="161"/>
      <c r="B75" s="164"/>
      <c r="C75" s="167"/>
      <c r="D75" s="151"/>
      <c r="E75" s="170"/>
      <c r="F75" s="173"/>
      <c r="G75" s="176"/>
      <c r="H75" s="153"/>
      <c r="I75" s="153"/>
      <c r="J75" s="153"/>
      <c r="K75" s="153"/>
      <c r="L75" s="155"/>
      <c r="M75" s="107" t="s">
        <v>50</v>
      </c>
      <c r="N75" s="108"/>
      <c r="O75" s="108"/>
      <c r="P75" s="108"/>
      <c r="Q75" s="109"/>
      <c r="R75" s="108"/>
      <c r="S75" s="108"/>
      <c r="T75" s="108"/>
      <c r="U75" s="108"/>
      <c r="V75" s="108"/>
      <c r="W75" s="110"/>
      <c r="X75" s="130"/>
      <c r="Y75" s="130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58"/>
      <c r="AT75" s="145"/>
      <c r="AU75" s="148"/>
      <c r="AV75" s="111"/>
      <c r="AW75" s="112"/>
      <c r="AX75" s="112"/>
      <c r="AY75" s="112"/>
      <c r="AZ75" s="113"/>
      <c r="BA75" s="133"/>
      <c r="BB75" s="114"/>
      <c r="BC75" s="112"/>
      <c r="BD75" s="112"/>
      <c r="BE75" s="113"/>
      <c r="BF75" s="113"/>
      <c r="BG75" s="136"/>
      <c r="BH75" s="139"/>
      <c r="BI75" s="142"/>
      <c r="BJ75" s="19"/>
    </row>
    <row r="76" spans="1:62" ht="20.45" customHeight="1">
      <c r="A76" s="162"/>
      <c r="B76" s="165"/>
      <c r="C76" s="168"/>
      <c r="D76" s="116"/>
      <c r="E76" s="171"/>
      <c r="F76" s="174"/>
      <c r="G76" s="177"/>
      <c r="H76" s="115"/>
      <c r="I76" s="115"/>
      <c r="J76" s="115"/>
      <c r="K76" s="115"/>
      <c r="L76" s="156"/>
      <c r="M76" s="121" t="s">
        <v>241</v>
      </c>
      <c r="N76" s="122"/>
      <c r="O76" s="122"/>
      <c r="P76" s="122"/>
      <c r="Q76" s="123"/>
      <c r="R76" s="122"/>
      <c r="S76" s="122"/>
      <c r="T76" s="122"/>
      <c r="U76" s="122"/>
      <c r="V76" s="122"/>
      <c r="W76" s="124"/>
      <c r="X76" s="129"/>
      <c r="Y76" s="129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59"/>
      <c r="AT76" s="146"/>
      <c r="AU76" s="149"/>
      <c r="AV76" s="117"/>
      <c r="AW76" s="118"/>
      <c r="AX76" s="118"/>
      <c r="AY76" s="118"/>
      <c r="AZ76" s="119"/>
      <c r="BA76" s="134"/>
      <c r="BB76" s="120"/>
      <c r="BC76" s="118"/>
      <c r="BD76" s="118"/>
      <c r="BE76" s="119"/>
      <c r="BF76" s="119"/>
      <c r="BG76" s="137"/>
      <c r="BH76" s="140"/>
      <c r="BI76" s="143"/>
      <c r="BJ76" s="19"/>
    </row>
    <row r="77" spans="1:62" ht="20.45" customHeight="1">
      <c r="A77" s="160">
        <f>A71+1</f>
        <v>24</v>
      </c>
      <c r="B77" s="163"/>
      <c r="C77" s="166"/>
      <c r="D77" s="150"/>
      <c r="E77" s="169"/>
      <c r="F77" s="172"/>
      <c r="G77" s="175"/>
      <c r="H77" s="178"/>
      <c r="I77" s="152"/>
      <c r="J77" s="179"/>
      <c r="K77" s="179"/>
      <c r="L77" s="154"/>
      <c r="M77" s="103" t="s">
        <v>49</v>
      </c>
      <c r="N77" s="33"/>
      <c r="O77" s="33"/>
      <c r="P77" s="33"/>
      <c r="Q77" s="33"/>
      <c r="R77" s="34"/>
      <c r="S77" s="33"/>
      <c r="T77" s="33"/>
      <c r="U77" s="33"/>
      <c r="V77" s="33"/>
      <c r="W77" s="33"/>
      <c r="X77" s="127"/>
      <c r="Y77" s="127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157">
        <f t="shared" ref="AS77" si="18">SUMPRODUCT(--((N77:AR77&lt;&gt;"")+(N78:AR78&lt;&gt;"")&gt;0))</f>
        <v>0</v>
      </c>
      <c r="AT77" s="144"/>
      <c r="AU77" s="147"/>
      <c r="AV77" s="104"/>
      <c r="AW77" s="93"/>
      <c r="AX77" s="93"/>
      <c r="AY77" s="93"/>
      <c r="AZ77" s="105"/>
      <c r="BA77" s="132">
        <f t="shared" ref="BA77" si="19">AS77*AU77</f>
        <v>0</v>
      </c>
      <c r="BB77" s="106"/>
      <c r="BC77" s="93"/>
      <c r="BD77" s="93"/>
      <c r="BE77" s="105"/>
      <c r="BF77" s="105"/>
      <c r="BG77" s="135">
        <f>SUM(BB77:BF78)</f>
        <v>0</v>
      </c>
      <c r="BH77" s="138">
        <f>BA77-BG77</f>
        <v>0</v>
      </c>
      <c r="BI77" s="141"/>
      <c r="BJ77" s="46"/>
    </row>
    <row r="78" spans="1:62" ht="20.45" customHeight="1">
      <c r="A78" s="161"/>
      <c r="B78" s="164"/>
      <c r="C78" s="167"/>
      <c r="D78" s="151"/>
      <c r="E78" s="170"/>
      <c r="F78" s="173"/>
      <c r="G78" s="176"/>
      <c r="H78" s="153"/>
      <c r="I78" s="153"/>
      <c r="J78" s="153"/>
      <c r="K78" s="153"/>
      <c r="L78" s="155"/>
      <c r="M78" s="107" t="s">
        <v>50</v>
      </c>
      <c r="N78" s="108"/>
      <c r="O78" s="108"/>
      <c r="P78" s="108"/>
      <c r="Q78" s="109"/>
      <c r="R78" s="108"/>
      <c r="S78" s="108"/>
      <c r="T78" s="108"/>
      <c r="U78" s="108"/>
      <c r="V78" s="108"/>
      <c r="W78" s="110"/>
      <c r="X78" s="130"/>
      <c r="Y78" s="130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58"/>
      <c r="AT78" s="145"/>
      <c r="AU78" s="148"/>
      <c r="AV78" s="111"/>
      <c r="AW78" s="112"/>
      <c r="AX78" s="112"/>
      <c r="AY78" s="112"/>
      <c r="AZ78" s="113"/>
      <c r="BA78" s="133"/>
      <c r="BB78" s="114"/>
      <c r="BC78" s="112"/>
      <c r="BD78" s="112"/>
      <c r="BE78" s="113"/>
      <c r="BF78" s="113"/>
      <c r="BG78" s="136"/>
      <c r="BH78" s="139"/>
      <c r="BI78" s="142"/>
      <c r="BJ78" s="19"/>
    </row>
    <row r="79" spans="1:62" ht="20.45" customHeight="1">
      <c r="A79" s="162"/>
      <c r="B79" s="165"/>
      <c r="C79" s="168"/>
      <c r="D79" s="116"/>
      <c r="E79" s="171"/>
      <c r="F79" s="174"/>
      <c r="G79" s="177"/>
      <c r="H79" s="115"/>
      <c r="I79" s="115"/>
      <c r="J79" s="115"/>
      <c r="K79" s="115"/>
      <c r="L79" s="156"/>
      <c r="M79" s="121" t="s">
        <v>241</v>
      </c>
      <c r="N79" s="122"/>
      <c r="O79" s="122"/>
      <c r="P79" s="122"/>
      <c r="Q79" s="123"/>
      <c r="R79" s="122"/>
      <c r="S79" s="122"/>
      <c r="T79" s="122"/>
      <c r="U79" s="122"/>
      <c r="V79" s="122"/>
      <c r="W79" s="124"/>
      <c r="X79" s="129"/>
      <c r="Y79" s="129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59"/>
      <c r="AT79" s="146"/>
      <c r="AU79" s="149"/>
      <c r="AV79" s="117"/>
      <c r="AW79" s="118"/>
      <c r="AX79" s="118"/>
      <c r="AY79" s="118"/>
      <c r="AZ79" s="119"/>
      <c r="BA79" s="134"/>
      <c r="BB79" s="120"/>
      <c r="BC79" s="118"/>
      <c r="BD79" s="118"/>
      <c r="BE79" s="119"/>
      <c r="BF79" s="119"/>
      <c r="BG79" s="137"/>
      <c r="BH79" s="140"/>
      <c r="BI79" s="143"/>
      <c r="BJ79" s="19"/>
    </row>
    <row r="80" spans="1:62" ht="20.45" customHeight="1">
      <c r="A80" s="160">
        <f>A74+1</f>
        <v>24</v>
      </c>
      <c r="B80" s="163"/>
      <c r="C80" s="166"/>
      <c r="D80" s="150"/>
      <c r="E80" s="169"/>
      <c r="F80" s="172"/>
      <c r="G80" s="175"/>
      <c r="H80" s="178"/>
      <c r="I80" s="152"/>
      <c r="J80" s="179"/>
      <c r="K80" s="179"/>
      <c r="L80" s="154"/>
      <c r="M80" s="103" t="s">
        <v>49</v>
      </c>
      <c r="N80" s="33"/>
      <c r="O80" s="33"/>
      <c r="P80" s="33"/>
      <c r="Q80" s="33"/>
      <c r="R80" s="34"/>
      <c r="S80" s="33"/>
      <c r="T80" s="33"/>
      <c r="U80" s="33"/>
      <c r="V80" s="33"/>
      <c r="W80" s="33"/>
      <c r="X80" s="127"/>
      <c r="Y80" s="127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157">
        <f t="shared" ref="AS80" si="20">SUMPRODUCT(--((N80:AR80&lt;&gt;"")+(N81:AR81&lt;&gt;"")&gt;0))</f>
        <v>0</v>
      </c>
      <c r="AT80" s="144"/>
      <c r="AU80" s="147"/>
      <c r="AV80" s="104"/>
      <c r="AW80" s="93"/>
      <c r="AX80" s="93"/>
      <c r="AY80" s="93"/>
      <c r="AZ80" s="105"/>
      <c r="BA80" s="132">
        <f t="shared" ref="BA80" si="21">AS80*AU80</f>
        <v>0</v>
      </c>
      <c r="BB80" s="106"/>
      <c r="BC80" s="93"/>
      <c r="BD80" s="93"/>
      <c r="BE80" s="105"/>
      <c r="BF80" s="105"/>
      <c r="BG80" s="135">
        <f>SUM(BB80:BF81)</f>
        <v>0</v>
      </c>
      <c r="BH80" s="138">
        <f>BA80-BG80</f>
        <v>0</v>
      </c>
      <c r="BI80" s="141"/>
      <c r="BJ80" s="46"/>
    </row>
    <row r="81" spans="1:258" ht="20.45" customHeight="1">
      <c r="A81" s="161"/>
      <c r="B81" s="164"/>
      <c r="C81" s="167"/>
      <c r="D81" s="151"/>
      <c r="E81" s="170"/>
      <c r="F81" s="173"/>
      <c r="G81" s="176"/>
      <c r="H81" s="153"/>
      <c r="I81" s="153"/>
      <c r="J81" s="153"/>
      <c r="K81" s="153"/>
      <c r="L81" s="155"/>
      <c r="M81" s="107" t="s">
        <v>50</v>
      </c>
      <c r="N81" s="108"/>
      <c r="O81" s="108"/>
      <c r="P81" s="108"/>
      <c r="Q81" s="109"/>
      <c r="R81" s="108"/>
      <c r="S81" s="108"/>
      <c r="T81" s="108"/>
      <c r="U81" s="108"/>
      <c r="V81" s="108"/>
      <c r="W81" s="110"/>
      <c r="X81" s="130"/>
      <c r="Y81" s="130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58"/>
      <c r="AT81" s="145"/>
      <c r="AU81" s="148"/>
      <c r="AV81" s="111"/>
      <c r="AW81" s="112"/>
      <c r="AX81" s="112"/>
      <c r="AY81" s="112"/>
      <c r="AZ81" s="113"/>
      <c r="BA81" s="133"/>
      <c r="BB81" s="114"/>
      <c r="BC81" s="112"/>
      <c r="BD81" s="112"/>
      <c r="BE81" s="113"/>
      <c r="BF81" s="113"/>
      <c r="BG81" s="136"/>
      <c r="BH81" s="139"/>
      <c r="BI81" s="142"/>
      <c r="BJ81" s="19"/>
    </row>
    <row r="82" spans="1:258" ht="20.45" customHeight="1">
      <c r="A82" s="162"/>
      <c r="B82" s="165"/>
      <c r="C82" s="168"/>
      <c r="D82" s="116"/>
      <c r="E82" s="171"/>
      <c r="F82" s="174"/>
      <c r="G82" s="177"/>
      <c r="H82" s="115"/>
      <c r="I82" s="115"/>
      <c r="J82" s="115"/>
      <c r="K82" s="115"/>
      <c r="L82" s="156"/>
      <c r="M82" s="121" t="s">
        <v>241</v>
      </c>
      <c r="N82" s="122"/>
      <c r="O82" s="122"/>
      <c r="P82" s="122"/>
      <c r="Q82" s="123"/>
      <c r="R82" s="122"/>
      <c r="S82" s="122"/>
      <c r="T82" s="122"/>
      <c r="U82" s="122"/>
      <c r="V82" s="122"/>
      <c r="W82" s="124"/>
      <c r="X82" s="129"/>
      <c r="Y82" s="129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59"/>
      <c r="AT82" s="146"/>
      <c r="AU82" s="149"/>
      <c r="AV82" s="117"/>
      <c r="AW82" s="118"/>
      <c r="AX82" s="118"/>
      <c r="AY82" s="118"/>
      <c r="AZ82" s="119"/>
      <c r="BA82" s="134"/>
      <c r="BB82" s="120"/>
      <c r="BC82" s="118"/>
      <c r="BD82" s="118"/>
      <c r="BE82" s="119"/>
      <c r="BF82" s="119"/>
      <c r="BG82" s="137"/>
      <c r="BH82" s="140"/>
      <c r="BI82" s="143"/>
      <c r="BJ82" s="19"/>
    </row>
    <row r="83" spans="1:258" ht="20.45" customHeight="1">
      <c r="A83" s="160">
        <f>A77+1</f>
        <v>25</v>
      </c>
      <c r="B83" s="163"/>
      <c r="C83" s="166"/>
      <c r="D83" s="150"/>
      <c r="E83" s="169"/>
      <c r="F83" s="172"/>
      <c r="G83" s="175"/>
      <c r="H83" s="178"/>
      <c r="I83" s="152"/>
      <c r="J83" s="179"/>
      <c r="K83" s="179"/>
      <c r="L83" s="154"/>
      <c r="M83" s="103" t="s">
        <v>49</v>
      </c>
      <c r="N83" s="33"/>
      <c r="O83" s="33"/>
      <c r="P83" s="33"/>
      <c r="Q83" s="33"/>
      <c r="R83" s="34"/>
      <c r="S83" s="33"/>
      <c r="T83" s="33"/>
      <c r="U83" s="33"/>
      <c r="V83" s="33"/>
      <c r="W83" s="33"/>
      <c r="X83" s="127"/>
      <c r="Y83" s="127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157">
        <f t="shared" ref="AS83" si="22">SUMPRODUCT(--((N83:AR83&lt;&gt;"")+(N84:AR84&lt;&gt;"")&gt;0))</f>
        <v>0</v>
      </c>
      <c r="AT83" s="144"/>
      <c r="AU83" s="147"/>
      <c r="AV83" s="104"/>
      <c r="AW83" s="93"/>
      <c r="AX83" s="93"/>
      <c r="AY83" s="93"/>
      <c r="AZ83" s="105"/>
      <c r="BA83" s="132">
        <f t="shared" ref="BA83" si="23">AS83*AU83</f>
        <v>0</v>
      </c>
      <c r="BB83" s="106"/>
      <c r="BC83" s="93"/>
      <c r="BD83" s="93"/>
      <c r="BE83" s="105"/>
      <c r="BF83" s="105"/>
      <c r="BG83" s="135">
        <f>SUM(BB83:BF84)</f>
        <v>0</v>
      </c>
      <c r="BH83" s="138">
        <f>BA83-BG83</f>
        <v>0</v>
      </c>
      <c r="BI83" s="141"/>
      <c r="BJ83" s="46"/>
    </row>
    <row r="84" spans="1:258" ht="20.45" customHeight="1">
      <c r="A84" s="161"/>
      <c r="B84" s="164"/>
      <c r="C84" s="167"/>
      <c r="D84" s="151"/>
      <c r="E84" s="170"/>
      <c r="F84" s="173"/>
      <c r="G84" s="176"/>
      <c r="H84" s="153"/>
      <c r="I84" s="153"/>
      <c r="J84" s="153"/>
      <c r="K84" s="153"/>
      <c r="L84" s="155"/>
      <c r="M84" s="107" t="s">
        <v>50</v>
      </c>
      <c r="N84" s="108"/>
      <c r="O84" s="108"/>
      <c r="P84" s="108"/>
      <c r="Q84" s="109"/>
      <c r="R84" s="108"/>
      <c r="S84" s="108"/>
      <c r="T84" s="108"/>
      <c r="U84" s="108"/>
      <c r="V84" s="108"/>
      <c r="W84" s="110"/>
      <c r="X84" s="130"/>
      <c r="Y84" s="130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58"/>
      <c r="AT84" s="145"/>
      <c r="AU84" s="148"/>
      <c r="AV84" s="111"/>
      <c r="AW84" s="112"/>
      <c r="AX84" s="112"/>
      <c r="AY84" s="112"/>
      <c r="AZ84" s="113"/>
      <c r="BA84" s="133"/>
      <c r="BB84" s="114"/>
      <c r="BC84" s="112"/>
      <c r="BD84" s="112"/>
      <c r="BE84" s="113"/>
      <c r="BF84" s="113"/>
      <c r="BG84" s="136"/>
      <c r="BH84" s="139"/>
      <c r="BI84" s="142"/>
      <c r="BJ84" s="19"/>
    </row>
    <row r="85" spans="1:258" ht="20.45" customHeight="1">
      <c r="A85" s="162"/>
      <c r="B85" s="165"/>
      <c r="C85" s="168"/>
      <c r="D85" s="116"/>
      <c r="E85" s="171"/>
      <c r="F85" s="174"/>
      <c r="G85" s="177"/>
      <c r="H85" s="115"/>
      <c r="I85" s="115"/>
      <c r="J85" s="115"/>
      <c r="K85" s="115"/>
      <c r="L85" s="156"/>
      <c r="M85" s="121" t="s">
        <v>241</v>
      </c>
      <c r="N85" s="122"/>
      <c r="O85" s="122"/>
      <c r="P85" s="122"/>
      <c r="Q85" s="123"/>
      <c r="R85" s="122"/>
      <c r="S85" s="122"/>
      <c r="T85" s="122"/>
      <c r="U85" s="122"/>
      <c r="V85" s="122"/>
      <c r="W85" s="124"/>
      <c r="X85" s="129"/>
      <c r="Y85" s="129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59"/>
      <c r="AT85" s="146"/>
      <c r="AU85" s="149"/>
      <c r="AV85" s="117"/>
      <c r="AW85" s="118"/>
      <c r="AX85" s="118"/>
      <c r="AY85" s="118"/>
      <c r="AZ85" s="119"/>
      <c r="BA85" s="134"/>
      <c r="BB85" s="120"/>
      <c r="BC85" s="118"/>
      <c r="BD85" s="118"/>
      <c r="BE85" s="119"/>
      <c r="BF85" s="119"/>
      <c r="BG85" s="137"/>
      <c r="BH85" s="140"/>
      <c r="BI85" s="143"/>
      <c r="BJ85" s="19"/>
    </row>
    <row r="86" spans="1:258" ht="20.45" customHeight="1">
      <c r="A86" s="160">
        <f>A80+1</f>
        <v>25</v>
      </c>
      <c r="B86" s="163"/>
      <c r="C86" s="166"/>
      <c r="D86" s="150"/>
      <c r="E86" s="169"/>
      <c r="F86" s="172"/>
      <c r="G86" s="175"/>
      <c r="H86" s="178"/>
      <c r="I86" s="152"/>
      <c r="J86" s="179"/>
      <c r="K86" s="179"/>
      <c r="L86" s="154"/>
      <c r="M86" s="103" t="s">
        <v>49</v>
      </c>
      <c r="N86" s="33"/>
      <c r="O86" s="33"/>
      <c r="P86" s="33"/>
      <c r="Q86" s="33"/>
      <c r="R86" s="34"/>
      <c r="S86" s="33"/>
      <c r="T86" s="33"/>
      <c r="U86" s="33"/>
      <c r="V86" s="33"/>
      <c r="W86" s="33"/>
      <c r="X86" s="127"/>
      <c r="Y86" s="127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157">
        <f t="shared" ref="AS86" si="24">SUMPRODUCT(--((N86:AR86&lt;&gt;"")+(N87:AR87&lt;&gt;"")&gt;0))</f>
        <v>0</v>
      </c>
      <c r="AT86" s="144"/>
      <c r="AU86" s="147"/>
      <c r="AV86" s="104"/>
      <c r="AW86" s="93"/>
      <c r="AX86" s="93"/>
      <c r="AY86" s="93"/>
      <c r="AZ86" s="105"/>
      <c r="BA86" s="132">
        <f t="shared" ref="BA86" si="25">AS86*AU86</f>
        <v>0</v>
      </c>
      <c r="BB86" s="106"/>
      <c r="BC86" s="93"/>
      <c r="BD86" s="93"/>
      <c r="BE86" s="105"/>
      <c r="BF86" s="105"/>
      <c r="BG86" s="135">
        <f>SUM(BB86:BF87)</f>
        <v>0</v>
      </c>
      <c r="BH86" s="138">
        <f>BA86-BG86</f>
        <v>0</v>
      </c>
      <c r="BI86" s="141"/>
      <c r="BJ86" s="46"/>
    </row>
    <row r="87" spans="1:258" ht="20.45" customHeight="1">
      <c r="A87" s="161"/>
      <c r="B87" s="164"/>
      <c r="C87" s="167"/>
      <c r="D87" s="151"/>
      <c r="E87" s="170"/>
      <c r="F87" s="173"/>
      <c r="G87" s="176"/>
      <c r="H87" s="153"/>
      <c r="I87" s="153"/>
      <c r="J87" s="153"/>
      <c r="K87" s="153"/>
      <c r="L87" s="155"/>
      <c r="M87" s="107" t="s">
        <v>50</v>
      </c>
      <c r="N87" s="108"/>
      <c r="O87" s="108"/>
      <c r="P87" s="108"/>
      <c r="Q87" s="109"/>
      <c r="R87" s="108"/>
      <c r="S87" s="108"/>
      <c r="T87" s="108"/>
      <c r="U87" s="108"/>
      <c r="V87" s="108"/>
      <c r="W87" s="110"/>
      <c r="X87" s="130"/>
      <c r="Y87" s="130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58"/>
      <c r="AT87" s="145"/>
      <c r="AU87" s="148"/>
      <c r="AV87" s="111"/>
      <c r="AW87" s="112"/>
      <c r="AX87" s="112"/>
      <c r="AY87" s="112"/>
      <c r="AZ87" s="113"/>
      <c r="BA87" s="133"/>
      <c r="BB87" s="114"/>
      <c r="BC87" s="112"/>
      <c r="BD87" s="112"/>
      <c r="BE87" s="113"/>
      <c r="BF87" s="113"/>
      <c r="BG87" s="136"/>
      <c r="BH87" s="139"/>
      <c r="BI87" s="142"/>
      <c r="BJ87" s="19"/>
    </row>
    <row r="88" spans="1:258" ht="20.45" customHeight="1">
      <c r="A88" s="162"/>
      <c r="B88" s="165"/>
      <c r="C88" s="168"/>
      <c r="D88" s="116"/>
      <c r="E88" s="171"/>
      <c r="F88" s="174"/>
      <c r="G88" s="177"/>
      <c r="H88" s="115"/>
      <c r="I88" s="115"/>
      <c r="J88" s="115"/>
      <c r="K88" s="115"/>
      <c r="L88" s="156"/>
      <c r="M88" s="121" t="s">
        <v>241</v>
      </c>
      <c r="N88" s="122"/>
      <c r="O88" s="122"/>
      <c r="P88" s="122"/>
      <c r="Q88" s="123"/>
      <c r="R88" s="122"/>
      <c r="S88" s="122"/>
      <c r="T88" s="122"/>
      <c r="U88" s="122"/>
      <c r="V88" s="122"/>
      <c r="W88" s="124"/>
      <c r="X88" s="129"/>
      <c r="Y88" s="129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59"/>
      <c r="AT88" s="146"/>
      <c r="AU88" s="149"/>
      <c r="AV88" s="117"/>
      <c r="AW88" s="118"/>
      <c r="AX88" s="118"/>
      <c r="AY88" s="118"/>
      <c r="AZ88" s="119"/>
      <c r="BA88" s="134"/>
      <c r="BB88" s="120"/>
      <c r="BC88" s="118"/>
      <c r="BD88" s="118"/>
      <c r="BE88" s="119"/>
      <c r="BF88" s="119"/>
      <c r="BG88" s="137"/>
      <c r="BH88" s="140"/>
      <c r="BI88" s="143"/>
      <c r="BJ88" s="19"/>
    </row>
    <row r="89" spans="1:258" ht="20.45" customHeight="1">
      <c r="A89" s="160">
        <f>A83+1</f>
        <v>26</v>
      </c>
      <c r="B89" s="163"/>
      <c r="C89" s="166"/>
      <c r="D89" s="150"/>
      <c r="E89" s="169"/>
      <c r="F89" s="172"/>
      <c r="G89" s="175"/>
      <c r="H89" s="178"/>
      <c r="I89" s="152"/>
      <c r="J89" s="179"/>
      <c r="K89" s="179"/>
      <c r="L89" s="154"/>
      <c r="M89" s="103" t="s">
        <v>49</v>
      </c>
      <c r="N89" s="33"/>
      <c r="O89" s="33"/>
      <c r="P89" s="33"/>
      <c r="Q89" s="33"/>
      <c r="R89" s="34"/>
      <c r="S89" s="33"/>
      <c r="T89" s="33"/>
      <c r="U89" s="33"/>
      <c r="V89" s="33"/>
      <c r="W89" s="33"/>
      <c r="X89" s="127"/>
      <c r="Y89" s="127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157">
        <f t="shared" ref="AS89" si="26">SUMPRODUCT(--((N89:AR89&lt;&gt;"")+(N90:AR90&lt;&gt;"")&gt;0))</f>
        <v>0</v>
      </c>
      <c r="AT89" s="144"/>
      <c r="AU89" s="147"/>
      <c r="AV89" s="104"/>
      <c r="AW89" s="93"/>
      <c r="AX89" s="93"/>
      <c r="AY89" s="93"/>
      <c r="AZ89" s="105"/>
      <c r="BA89" s="132">
        <f t="shared" ref="BA89" si="27">AS89*AU89</f>
        <v>0</v>
      </c>
      <c r="BB89" s="106"/>
      <c r="BC89" s="93"/>
      <c r="BD89" s="93"/>
      <c r="BE89" s="105"/>
      <c r="BF89" s="105"/>
      <c r="BG89" s="135">
        <f>SUM(BB89:BF90)</f>
        <v>0</v>
      </c>
      <c r="BH89" s="138">
        <f>BA89-BG89</f>
        <v>0</v>
      </c>
      <c r="BI89" s="141"/>
      <c r="BJ89" s="46"/>
    </row>
    <row r="90" spans="1:258" ht="20.45" customHeight="1">
      <c r="A90" s="161"/>
      <c r="B90" s="164"/>
      <c r="C90" s="167"/>
      <c r="D90" s="151"/>
      <c r="E90" s="170"/>
      <c r="F90" s="173"/>
      <c r="G90" s="176"/>
      <c r="H90" s="153"/>
      <c r="I90" s="153"/>
      <c r="J90" s="153"/>
      <c r="K90" s="153"/>
      <c r="L90" s="155"/>
      <c r="M90" s="107" t="s">
        <v>50</v>
      </c>
      <c r="N90" s="108"/>
      <c r="O90" s="108"/>
      <c r="P90" s="108"/>
      <c r="Q90" s="109"/>
      <c r="R90" s="108"/>
      <c r="S90" s="108"/>
      <c r="T90" s="108"/>
      <c r="U90" s="108"/>
      <c r="V90" s="108"/>
      <c r="W90" s="110"/>
      <c r="X90" s="130"/>
      <c r="Y90" s="130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58"/>
      <c r="AT90" s="145"/>
      <c r="AU90" s="148"/>
      <c r="AV90" s="111"/>
      <c r="AW90" s="112"/>
      <c r="AX90" s="112"/>
      <c r="AY90" s="112"/>
      <c r="AZ90" s="113"/>
      <c r="BA90" s="133"/>
      <c r="BB90" s="114"/>
      <c r="BC90" s="112"/>
      <c r="BD90" s="112"/>
      <c r="BE90" s="113"/>
      <c r="BF90" s="113"/>
      <c r="BG90" s="136"/>
      <c r="BH90" s="139"/>
      <c r="BI90" s="142"/>
      <c r="BJ90" s="19"/>
    </row>
    <row r="91" spans="1:258" ht="20.45" customHeight="1">
      <c r="A91" s="162"/>
      <c r="B91" s="165"/>
      <c r="C91" s="168"/>
      <c r="D91" s="116"/>
      <c r="E91" s="171"/>
      <c r="F91" s="174"/>
      <c r="G91" s="177"/>
      <c r="H91" s="115"/>
      <c r="I91" s="115"/>
      <c r="J91" s="115"/>
      <c r="K91" s="115"/>
      <c r="L91" s="156"/>
      <c r="M91" s="121" t="s">
        <v>241</v>
      </c>
      <c r="N91" s="122"/>
      <c r="O91" s="122"/>
      <c r="P91" s="122"/>
      <c r="Q91" s="123"/>
      <c r="R91" s="122"/>
      <c r="S91" s="122"/>
      <c r="T91" s="122"/>
      <c r="U91" s="122"/>
      <c r="V91" s="122"/>
      <c r="W91" s="124"/>
      <c r="X91" s="129"/>
      <c r="Y91" s="129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59"/>
      <c r="AT91" s="146"/>
      <c r="AU91" s="149"/>
      <c r="AV91" s="117"/>
      <c r="AW91" s="118"/>
      <c r="AX91" s="118"/>
      <c r="AY91" s="118"/>
      <c r="AZ91" s="119"/>
      <c r="BA91" s="134"/>
      <c r="BB91" s="120"/>
      <c r="BC91" s="118"/>
      <c r="BD91" s="118"/>
      <c r="BE91" s="119"/>
      <c r="BF91" s="119"/>
      <c r="BG91" s="137"/>
      <c r="BH91" s="140"/>
      <c r="BI91" s="143"/>
      <c r="BJ91" s="19"/>
    </row>
    <row r="92" spans="1:258" ht="20.100000000000001" customHeight="1">
      <c r="A92" s="234" t="s">
        <v>248</v>
      </c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6"/>
      <c r="M92" s="126" t="s">
        <v>249</v>
      </c>
      <c r="N92" s="47">
        <f>COUNT(N5,N7,N10,N12,N14,N17,N20,N23,N26,N29,N32,N35,N38,N41,N44,N47,N50,N53,N56,N59,N62,N65,N68,N71,N74,N77,N80,N83,N86,N89)</f>
        <v>0</v>
      </c>
      <c r="O92" s="47">
        <f t="shared" ref="O92:AR92" si="28">COUNT(O5,O7,O10,O12,O14,O17,O20,O23,O26,O29,O32,O35,O38,O41,O44,O47,O50,O53,O56,O59,O62,O65,O68,O71,O74,O77,O80,O83,O86,O89)</f>
        <v>13</v>
      </c>
      <c r="P92" s="47">
        <f t="shared" si="28"/>
        <v>13</v>
      </c>
      <c r="Q92" s="48">
        <f t="shared" si="28"/>
        <v>19</v>
      </c>
      <c r="R92" s="49">
        <f t="shared" si="28"/>
        <v>13</v>
      </c>
      <c r="S92" s="47">
        <f t="shared" si="28"/>
        <v>18</v>
      </c>
      <c r="T92" s="47">
        <f t="shared" si="28"/>
        <v>19</v>
      </c>
      <c r="U92" s="47">
        <f t="shared" si="28"/>
        <v>18</v>
      </c>
      <c r="V92" s="47">
        <f t="shared" si="28"/>
        <v>16</v>
      </c>
      <c r="W92" s="47">
        <f t="shared" si="28"/>
        <v>14</v>
      </c>
      <c r="X92" s="131">
        <f t="shared" si="28"/>
        <v>18</v>
      </c>
      <c r="Y92" s="131">
        <f t="shared" si="28"/>
        <v>20</v>
      </c>
      <c r="Z92" s="47">
        <f t="shared" si="28"/>
        <v>20</v>
      </c>
      <c r="AA92" s="47">
        <f t="shared" si="28"/>
        <v>0</v>
      </c>
      <c r="AB92" s="47">
        <f t="shared" si="28"/>
        <v>0</v>
      </c>
      <c r="AC92" s="47">
        <f t="shared" si="28"/>
        <v>0</v>
      </c>
      <c r="AD92" s="47">
        <f t="shared" si="28"/>
        <v>0</v>
      </c>
      <c r="AE92" s="47">
        <f t="shared" si="28"/>
        <v>0</v>
      </c>
      <c r="AF92" s="47">
        <f t="shared" si="28"/>
        <v>0</v>
      </c>
      <c r="AG92" s="47">
        <f t="shared" si="28"/>
        <v>0</v>
      </c>
      <c r="AH92" s="47">
        <f t="shared" si="28"/>
        <v>0</v>
      </c>
      <c r="AI92" s="47">
        <f t="shared" si="28"/>
        <v>0</v>
      </c>
      <c r="AJ92" s="47">
        <f t="shared" si="28"/>
        <v>0</v>
      </c>
      <c r="AK92" s="47">
        <f t="shared" si="28"/>
        <v>0</v>
      </c>
      <c r="AL92" s="47">
        <f t="shared" si="28"/>
        <v>0</v>
      </c>
      <c r="AM92" s="47">
        <f t="shared" si="28"/>
        <v>0</v>
      </c>
      <c r="AN92" s="47">
        <f t="shared" si="28"/>
        <v>0</v>
      </c>
      <c r="AO92" s="47">
        <f t="shared" si="28"/>
        <v>0</v>
      </c>
      <c r="AP92" s="47">
        <f t="shared" si="28"/>
        <v>0</v>
      </c>
      <c r="AQ92" s="47">
        <f t="shared" si="28"/>
        <v>0</v>
      </c>
      <c r="AR92" s="47">
        <f t="shared" si="28"/>
        <v>0</v>
      </c>
      <c r="AS92" s="232"/>
      <c r="AT92" s="255"/>
      <c r="AU92" s="253"/>
      <c r="AV92" s="256"/>
      <c r="AW92" s="96"/>
      <c r="AX92" s="96"/>
      <c r="AY92" s="96"/>
      <c r="AZ92" s="96"/>
      <c r="BA92" s="252">
        <f>SUM(BA5:BA91)</f>
        <v>37207520</v>
      </c>
      <c r="BB92" s="92"/>
      <c r="BC92" s="92"/>
      <c r="BD92" s="92"/>
      <c r="BE92" s="92"/>
      <c r="BF92" s="92"/>
      <c r="BG92" s="250"/>
      <c r="BH92" s="248"/>
      <c r="BI92" s="243"/>
      <c r="BJ92" s="50"/>
    </row>
    <row r="93" spans="1:258" ht="20.100000000000001" customHeight="1">
      <c r="A93" s="237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9"/>
      <c r="M93" s="94" t="s">
        <v>158</v>
      </c>
      <c r="N93" s="51"/>
      <c r="O93" s="51"/>
      <c r="P93" s="52"/>
      <c r="Q93" s="52"/>
      <c r="R93" s="51"/>
      <c r="S93" s="51"/>
      <c r="T93" s="51"/>
      <c r="U93" s="51"/>
      <c r="V93" s="51"/>
      <c r="W93" s="52"/>
      <c r="X93" s="52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233"/>
      <c r="AT93" s="251"/>
      <c r="AU93" s="254"/>
      <c r="AV93" s="257"/>
      <c r="AW93" s="53"/>
      <c r="AX93" s="53"/>
      <c r="AY93" s="53"/>
      <c r="AZ93" s="53"/>
      <c r="BA93" s="233"/>
      <c r="BB93" s="95"/>
      <c r="BC93" s="95"/>
      <c r="BD93" s="95"/>
      <c r="BE93" s="95"/>
      <c r="BF93" s="95"/>
      <c r="BG93" s="251"/>
      <c r="BH93" s="249"/>
      <c r="BI93" s="244"/>
      <c r="BJ93" s="19"/>
    </row>
    <row r="94" spans="1:258" ht="10.5" customHeight="1"/>
    <row r="95" spans="1:258" ht="18" customHeight="1">
      <c r="A95" s="54"/>
      <c r="B95" s="55"/>
      <c r="C95" s="56"/>
      <c r="D95" s="56"/>
      <c r="E95" s="56"/>
      <c r="F95" s="14"/>
      <c r="G95" s="14"/>
      <c r="H95" s="14"/>
      <c r="I95" s="14"/>
      <c r="J95" s="14"/>
      <c r="K95" s="14"/>
      <c r="L95" s="16"/>
      <c r="M95" s="16"/>
      <c r="N95" s="57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9"/>
      <c r="AT95" s="59"/>
      <c r="AV95" s="60"/>
      <c r="AW95" s="60"/>
      <c r="AX95" s="60"/>
      <c r="AY95" s="60"/>
      <c r="AZ95" s="60"/>
      <c r="BA95" s="60"/>
      <c r="BB95" s="60"/>
      <c r="BC95" s="60"/>
      <c r="BD95" s="60"/>
      <c r="BE95" s="61"/>
      <c r="BF95" s="61"/>
      <c r="BG95" s="19"/>
      <c r="BH95" s="7"/>
      <c r="BJ95" s="7"/>
      <c r="IV95"/>
      <c r="IW95"/>
      <c r="IX95"/>
    </row>
    <row r="96" spans="1:258" ht="18" customHeight="1">
      <c r="A96" s="54"/>
      <c r="B96" s="55"/>
      <c r="C96" s="56"/>
      <c r="D96" s="56"/>
      <c r="E96" s="56"/>
      <c r="F96" s="14"/>
      <c r="G96" s="14"/>
      <c r="H96" s="14"/>
      <c r="I96" s="14"/>
      <c r="J96" s="14"/>
      <c r="K96" s="14"/>
      <c r="L96" s="16"/>
      <c r="M96" s="16"/>
      <c r="N96" s="57"/>
      <c r="O96" s="58"/>
      <c r="P96" s="58"/>
      <c r="Q96" s="58"/>
      <c r="R96" s="58"/>
      <c r="S96" s="58"/>
      <c r="T96" s="58"/>
      <c r="U96" s="58"/>
      <c r="V96" s="58"/>
      <c r="W96" s="54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9"/>
      <c r="AT96" s="59"/>
      <c r="AV96" s="60"/>
      <c r="AW96" s="60"/>
      <c r="AX96" s="60"/>
      <c r="AY96" s="60"/>
      <c r="AZ96" s="60"/>
      <c r="BA96" s="60"/>
      <c r="BB96" s="60"/>
      <c r="BC96" s="60"/>
      <c r="BD96" s="60"/>
      <c r="BE96" s="61"/>
      <c r="BF96" s="61"/>
      <c r="BG96" s="19"/>
      <c r="BH96" s="7"/>
      <c r="BJ96" s="7"/>
      <c r="IV96"/>
      <c r="IW96"/>
      <c r="IX96"/>
    </row>
    <row r="97" spans="1:62" ht="18" customHeight="1">
      <c r="A97" s="54"/>
      <c r="B97" s="55"/>
      <c r="C97" s="56"/>
      <c r="D97" s="56"/>
      <c r="E97" s="56"/>
      <c r="F97" s="14"/>
      <c r="G97" s="14"/>
      <c r="H97" s="14"/>
      <c r="I97" s="14"/>
      <c r="J97" s="14"/>
      <c r="K97" s="14"/>
      <c r="L97" s="16"/>
      <c r="M97" s="16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9"/>
      <c r="AT97" s="59"/>
      <c r="AV97" s="60"/>
      <c r="AW97" s="60"/>
      <c r="AX97" s="60"/>
      <c r="AY97" s="60"/>
      <c r="AZ97" s="60"/>
      <c r="BA97" s="60"/>
      <c r="BB97" s="60"/>
      <c r="BC97" s="60"/>
      <c r="BD97" s="60"/>
      <c r="BE97" s="61"/>
      <c r="BF97" s="61"/>
      <c r="BG97" s="60"/>
      <c r="BH97" s="60"/>
      <c r="BJ97" s="19"/>
    </row>
    <row r="98" spans="1:62" ht="18" customHeight="1">
      <c r="A98" s="54"/>
      <c r="B98" s="55"/>
      <c r="C98" s="56"/>
      <c r="D98" s="56"/>
      <c r="E98" s="56"/>
      <c r="F98" s="14"/>
      <c r="G98" s="14"/>
      <c r="H98" s="14"/>
      <c r="I98" s="14"/>
      <c r="J98" s="14"/>
      <c r="K98" s="14"/>
      <c r="L98" s="16"/>
      <c r="M98" s="16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9"/>
      <c r="AT98" s="59"/>
      <c r="AV98" s="60"/>
      <c r="AW98" s="60"/>
      <c r="AX98" s="60"/>
      <c r="AY98" s="60"/>
      <c r="AZ98" s="60"/>
      <c r="BA98" s="60"/>
      <c r="BB98" s="60"/>
      <c r="BC98" s="60"/>
      <c r="BD98" s="60"/>
      <c r="BE98" s="61"/>
      <c r="BF98" s="61"/>
      <c r="BG98" s="60"/>
      <c r="BH98" s="60"/>
      <c r="BJ98" s="19"/>
    </row>
    <row r="99" spans="1:62" ht="15.75" customHeight="1">
      <c r="A99" s="54"/>
      <c r="B99" s="55"/>
      <c r="C99" s="54"/>
      <c r="D99" s="54"/>
      <c r="E99" s="54"/>
      <c r="F99" s="14"/>
      <c r="G99" s="14"/>
      <c r="H99" s="14"/>
      <c r="I99" s="14"/>
      <c r="J99" s="14"/>
      <c r="K99" s="14"/>
      <c r="L99" s="16"/>
      <c r="M99" s="16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9"/>
      <c r="AT99" s="59"/>
      <c r="AV99" s="60"/>
      <c r="AW99" s="60"/>
      <c r="AX99" s="60"/>
      <c r="AY99" s="60"/>
      <c r="AZ99" s="60"/>
      <c r="BA99" s="60"/>
      <c r="BB99" s="60"/>
      <c r="BC99" s="60"/>
      <c r="BD99" s="60"/>
      <c r="BE99" s="61"/>
      <c r="BF99" s="61"/>
      <c r="BG99" s="60"/>
      <c r="BH99" s="60"/>
      <c r="BJ99" s="19"/>
    </row>
    <row r="100" spans="1:62" ht="15.75" customHeight="1"/>
    <row r="101" spans="1:62" ht="15.75" customHeight="1"/>
    <row r="102" spans="1:62" ht="15.75" customHeight="1"/>
    <row r="103" spans="1:62" ht="15.75" customHeight="1"/>
    <row r="104" spans="1:62" ht="15.75" customHeight="1"/>
    <row r="105" spans="1:62" ht="15.75" customHeight="1"/>
    <row r="106" spans="1:62" ht="15.75" customHeight="1"/>
    <row r="107" spans="1:62" ht="15.75" customHeight="1">
      <c r="BJ107" s="62"/>
    </row>
    <row r="108" spans="1:62" ht="15.75" customHeight="1">
      <c r="BJ108" s="62"/>
    </row>
    <row r="109" spans="1:62" ht="12" customHeight="1">
      <c r="BJ109" s="62"/>
    </row>
    <row r="110" spans="1:62" ht="12" customHeight="1">
      <c r="BJ110" s="62"/>
    </row>
    <row r="111" spans="1:62" ht="12" customHeight="1">
      <c r="BJ111" s="62"/>
    </row>
    <row r="112" spans="1:62" ht="12" customHeight="1">
      <c r="BJ112" s="62"/>
    </row>
    <row r="113" spans="62:62" ht="12" customHeight="1">
      <c r="BJ113" s="62"/>
    </row>
    <row r="114" spans="62:62" ht="12" customHeight="1">
      <c r="BJ114" s="62"/>
    </row>
    <row r="115" spans="62:62" ht="12" customHeight="1">
      <c r="BJ115" s="62"/>
    </row>
    <row r="116" spans="62:62" ht="12" customHeight="1">
      <c r="BJ116" s="62"/>
    </row>
    <row r="117" spans="62:62" ht="12" customHeight="1">
      <c r="BJ117" s="62"/>
    </row>
    <row r="118" spans="62:62" ht="12" customHeight="1">
      <c r="BJ118" s="62"/>
    </row>
    <row r="119" spans="62:62" ht="12" customHeight="1">
      <c r="BJ119" s="62"/>
    </row>
    <row r="120" spans="62:62" ht="12" customHeight="1">
      <c r="BJ120" s="62"/>
    </row>
    <row r="121" spans="62:62" ht="12" customHeight="1">
      <c r="BJ121" s="62"/>
    </row>
    <row r="122" spans="62:62" ht="12" customHeight="1">
      <c r="BJ122" s="62"/>
    </row>
    <row r="123" spans="62:62" ht="12" customHeight="1"/>
    <row r="124" spans="62:62" ht="12" customHeight="1"/>
    <row r="125" spans="62:62" ht="12" customHeight="1"/>
    <row r="126" spans="62:62" ht="12" customHeight="1"/>
    <row r="127" spans="62:62" ht="12" customHeight="1"/>
    <row r="128" spans="62:62" ht="12" customHeight="1"/>
    <row r="129" ht="12" customHeight="1"/>
    <row r="130" ht="12" customHeight="1"/>
    <row r="131" ht="12" customHeight="1"/>
  </sheetData>
  <mergeCells count="636">
    <mergeCell ref="BI92:BI93"/>
    <mergeCell ref="C10:C11"/>
    <mergeCell ref="F10:F11"/>
    <mergeCell ref="AT12:AT13"/>
    <mergeCell ref="C12:C13"/>
    <mergeCell ref="F12:F13"/>
    <mergeCell ref="BH92:BH93"/>
    <mergeCell ref="BG92:BG93"/>
    <mergeCell ref="K44:K45"/>
    <mergeCell ref="BA92:BA93"/>
    <mergeCell ref="AU92:AU93"/>
    <mergeCell ref="AT92:AT93"/>
    <mergeCell ref="AV92:AV93"/>
    <mergeCell ref="K59:K60"/>
    <mergeCell ref="J56:J57"/>
    <mergeCell ref="H71:H72"/>
    <mergeCell ref="J71:J72"/>
    <mergeCell ref="J65:J66"/>
    <mergeCell ref="I32:I33"/>
    <mergeCell ref="J83:J84"/>
    <mergeCell ref="C20:C22"/>
    <mergeCell ref="E20:E22"/>
    <mergeCell ref="F20:F22"/>
    <mergeCell ref="G20:G22"/>
    <mergeCell ref="BG65:BG67"/>
    <mergeCell ref="BA68:BA70"/>
    <mergeCell ref="H80:H81"/>
    <mergeCell ref="I80:I81"/>
    <mergeCell ref="L86:L88"/>
    <mergeCell ref="A20:A22"/>
    <mergeCell ref="B20:B22"/>
    <mergeCell ref="A23:A25"/>
    <mergeCell ref="B23:B25"/>
    <mergeCell ref="A26:A28"/>
    <mergeCell ref="B26:B28"/>
    <mergeCell ref="AS26:AS28"/>
    <mergeCell ref="AT26:AT28"/>
    <mergeCell ref="AU26:AU28"/>
    <mergeCell ref="F23:F25"/>
    <mergeCell ref="G23:G25"/>
    <mergeCell ref="L23:L25"/>
    <mergeCell ref="AS23:AS25"/>
    <mergeCell ref="AT23:AT25"/>
    <mergeCell ref="AU23:AU25"/>
    <mergeCell ref="C26:C28"/>
    <mergeCell ref="E26:E28"/>
    <mergeCell ref="AT35:AT37"/>
    <mergeCell ref="AU35:AU37"/>
    <mergeCell ref="B5:B6"/>
    <mergeCell ref="I44:I45"/>
    <mergeCell ref="B29:B31"/>
    <mergeCell ref="C29:C31"/>
    <mergeCell ref="E29:E31"/>
    <mergeCell ref="F29:F31"/>
    <mergeCell ref="G29:G31"/>
    <mergeCell ref="H10:H11"/>
    <mergeCell ref="J10:J11"/>
    <mergeCell ref="H7:H8"/>
    <mergeCell ref="C23:C25"/>
    <mergeCell ref="E23:E25"/>
    <mergeCell ref="F26:F28"/>
    <mergeCell ref="G26:G28"/>
    <mergeCell ref="H23:H24"/>
    <mergeCell ref="H29:H30"/>
    <mergeCell ref="B41:B43"/>
    <mergeCell ref="C41:C43"/>
    <mergeCell ref="G10:G11"/>
    <mergeCell ref="G12:G13"/>
    <mergeCell ref="H12:H13"/>
    <mergeCell ref="J12:J13"/>
    <mergeCell ref="J14:J15"/>
    <mergeCell ref="J20:J21"/>
    <mergeCell ref="D65:D66"/>
    <mergeCell ref="D68:D69"/>
    <mergeCell ref="A41:A43"/>
    <mergeCell ref="I65:I66"/>
    <mergeCell ref="K65:K66"/>
    <mergeCell ref="H59:H60"/>
    <mergeCell ref="H50:H51"/>
    <mergeCell ref="K68:K69"/>
    <mergeCell ref="AJ3:AJ4"/>
    <mergeCell ref="K41:K42"/>
    <mergeCell ref="H56:H57"/>
    <mergeCell ref="H47:H48"/>
    <mergeCell ref="J47:J48"/>
    <mergeCell ref="H5:H6"/>
    <mergeCell ref="L29:L31"/>
    <mergeCell ref="G65:G67"/>
    <mergeCell ref="J59:J60"/>
    <mergeCell ref="J53:J54"/>
    <mergeCell ref="I59:I60"/>
    <mergeCell ref="L20:L22"/>
    <mergeCell ref="L26:L28"/>
    <mergeCell ref="J68:J69"/>
    <mergeCell ref="G38:G40"/>
    <mergeCell ref="H44:H45"/>
    <mergeCell ref="BA5:BA6"/>
    <mergeCell ref="AP3:AP4"/>
    <mergeCell ref="AR3:AR4"/>
    <mergeCell ref="AS3:AS4"/>
    <mergeCell ref="AH3:AH4"/>
    <mergeCell ref="AU3:AU4"/>
    <mergeCell ref="BG10:BG11"/>
    <mergeCell ref="Z3:Z4"/>
    <mergeCell ref="AS20:AS22"/>
    <mergeCell ref="AT20:AT22"/>
    <mergeCell ref="AU20:AU22"/>
    <mergeCell ref="AO3:AO4"/>
    <mergeCell ref="AQ3:AQ4"/>
    <mergeCell ref="BA12:BA13"/>
    <mergeCell ref="AS12:AS13"/>
    <mergeCell ref="AU12:AU13"/>
    <mergeCell ref="AT10:AT11"/>
    <mergeCell ref="BG12:BG13"/>
    <mergeCell ref="AS5:AS6"/>
    <mergeCell ref="BG17:BG19"/>
    <mergeCell ref="K71:K72"/>
    <mergeCell ref="L71:L73"/>
    <mergeCell ref="AS92:AS93"/>
    <mergeCell ref="I50:I51"/>
    <mergeCell ref="H65:H66"/>
    <mergeCell ref="A92:L93"/>
    <mergeCell ref="I71:I72"/>
    <mergeCell ref="K56:K57"/>
    <mergeCell ref="H62:H63"/>
    <mergeCell ref="K83:K84"/>
    <mergeCell ref="L53:L55"/>
    <mergeCell ref="L65:L67"/>
    <mergeCell ref="D62:D63"/>
    <mergeCell ref="H83:H84"/>
    <mergeCell ref="H68:H69"/>
    <mergeCell ref="I62:I63"/>
    <mergeCell ref="K62:K63"/>
    <mergeCell ref="D83:D84"/>
    <mergeCell ref="A65:A67"/>
    <mergeCell ref="J50:J51"/>
    <mergeCell ref="I68:I69"/>
    <mergeCell ref="D80:D81"/>
    <mergeCell ref="E80:E82"/>
    <mergeCell ref="F80:F82"/>
    <mergeCell ref="A38:A40"/>
    <mergeCell ref="B38:B40"/>
    <mergeCell ref="BG20:BG22"/>
    <mergeCell ref="BH20:BH22"/>
    <mergeCell ref="F38:F40"/>
    <mergeCell ref="D29:D30"/>
    <mergeCell ref="D32:D33"/>
    <mergeCell ref="D35:D36"/>
    <mergeCell ref="D38:D39"/>
    <mergeCell ref="BG32:BG34"/>
    <mergeCell ref="B35:B37"/>
    <mergeCell ref="H38:H39"/>
    <mergeCell ref="BA20:BA22"/>
    <mergeCell ref="A29:A31"/>
    <mergeCell ref="A35:A37"/>
    <mergeCell ref="AS29:AS31"/>
    <mergeCell ref="AT29:AT31"/>
    <mergeCell ref="AU29:AU31"/>
    <mergeCell ref="AS32:AS34"/>
    <mergeCell ref="AT32:AT34"/>
    <mergeCell ref="AU32:AU34"/>
    <mergeCell ref="BH32:BH34"/>
    <mergeCell ref="A32:A34"/>
    <mergeCell ref="I26:I27"/>
    <mergeCell ref="BH12:BH13"/>
    <mergeCell ref="BH5:BH6"/>
    <mergeCell ref="AU5:AU6"/>
    <mergeCell ref="BB2:BG2"/>
    <mergeCell ref="BI10:BI11"/>
    <mergeCell ref="BA3:BA4"/>
    <mergeCell ref="BG5:BG6"/>
    <mergeCell ref="B65:B67"/>
    <mergeCell ref="C65:C67"/>
    <mergeCell ref="E65:E67"/>
    <mergeCell ref="F65:F67"/>
    <mergeCell ref="E53:E55"/>
    <mergeCell ref="F53:F55"/>
    <mergeCell ref="G53:G55"/>
    <mergeCell ref="D41:D42"/>
    <mergeCell ref="D44:D45"/>
    <mergeCell ref="D47:D48"/>
    <mergeCell ref="G47:G49"/>
    <mergeCell ref="E59:E61"/>
    <mergeCell ref="J44:J45"/>
    <mergeCell ref="K53:K54"/>
    <mergeCell ref="I47:I48"/>
    <mergeCell ref="H53:H54"/>
    <mergeCell ref="E10:E11"/>
    <mergeCell ref="BI20:BI22"/>
    <mergeCell ref="BH2:BH4"/>
    <mergeCell ref="AV2:BA2"/>
    <mergeCell ref="BI12:BI13"/>
    <mergeCell ref="BA7:BA9"/>
    <mergeCell ref="BG7:BG9"/>
    <mergeCell ref="BH7:BH9"/>
    <mergeCell ref="BI7:BI9"/>
    <mergeCell ref="AK3:AK4"/>
    <mergeCell ref="AM3:AM4"/>
    <mergeCell ref="BI2:BI4"/>
    <mergeCell ref="BA10:BA11"/>
    <mergeCell ref="AS10:AS11"/>
    <mergeCell ref="BG3:BG4"/>
    <mergeCell ref="BI5:BI6"/>
    <mergeCell ref="BH10:BH11"/>
    <mergeCell ref="AU10:AU11"/>
    <mergeCell ref="AL3:AL4"/>
    <mergeCell ref="AT3:AT4"/>
    <mergeCell ref="AT5:AT6"/>
    <mergeCell ref="AU7:AU9"/>
    <mergeCell ref="BH14:BH16"/>
    <mergeCell ref="BI14:BI16"/>
    <mergeCell ref="AU17:AU19"/>
    <mergeCell ref="BI32:BI34"/>
    <mergeCell ref="BJ56:BJ57"/>
    <mergeCell ref="J41:J42"/>
    <mergeCell ref="J17:J18"/>
    <mergeCell ref="I20:I21"/>
    <mergeCell ref="I23:I24"/>
    <mergeCell ref="K32:K33"/>
    <mergeCell ref="H26:H27"/>
    <mergeCell ref="L38:L40"/>
    <mergeCell ref="J29:J30"/>
    <mergeCell ref="J32:J33"/>
    <mergeCell ref="AS35:AS37"/>
    <mergeCell ref="I35:I36"/>
    <mergeCell ref="I38:I39"/>
    <mergeCell ref="K38:K39"/>
    <mergeCell ref="L47:L49"/>
    <mergeCell ref="I53:I54"/>
    <mergeCell ref="H35:H36"/>
    <mergeCell ref="J38:J39"/>
    <mergeCell ref="BG35:BG37"/>
    <mergeCell ref="BH35:BH37"/>
    <mergeCell ref="BI35:BI37"/>
    <mergeCell ref="BI38:BI40"/>
    <mergeCell ref="J35:J36"/>
    <mergeCell ref="A12:A13"/>
    <mergeCell ref="I14:I15"/>
    <mergeCell ref="K26:K27"/>
    <mergeCell ref="H32:H33"/>
    <mergeCell ref="AD3:AD4"/>
    <mergeCell ref="B3:B4"/>
    <mergeCell ref="C32:C34"/>
    <mergeCell ref="B32:B34"/>
    <mergeCell ref="I29:I30"/>
    <mergeCell ref="K29:K30"/>
    <mergeCell ref="F3:F4"/>
    <mergeCell ref="C5:C6"/>
    <mergeCell ref="F5:F6"/>
    <mergeCell ref="J26:J27"/>
    <mergeCell ref="J5:J6"/>
    <mergeCell ref="D26:D27"/>
    <mergeCell ref="B10:B11"/>
    <mergeCell ref="Q3:Q4"/>
    <mergeCell ref="I3:I4"/>
    <mergeCell ref="G3:G4"/>
    <mergeCell ref="M3:M4"/>
    <mergeCell ref="H17:H18"/>
    <mergeCell ref="AC3:AC4"/>
    <mergeCell ref="K10:K11"/>
    <mergeCell ref="D20:D21"/>
    <mergeCell ref="D23:D24"/>
    <mergeCell ref="I10:I11"/>
    <mergeCell ref="K14:K15"/>
    <mergeCell ref="H20:H21"/>
    <mergeCell ref="S3:S4"/>
    <mergeCell ref="K3:K4"/>
    <mergeCell ref="J23:J24"/>
    <mergeCell ref="AF3:AF4"/>
    <mergeCell ref="Y3:Y4"/>
    <mergeCell ref="AA3:AA4"/>
    <mergeCell ref="K12:K13"/>
    <mergeCell ref="P3:P4"/>
    <mergeCell ref="R3:R4"/>
    <mergeCell ref="T3:T4"/>
    <mergeCell ref="L5:L6"/>
    <mergeCell ref="L10:L11"/>
    <mergeCell ref="O3:O4"/>
    <mergeCell ref="L12:L13"/>
    <mergeCell ref="I5:I6"/>
    <mergeCell ref="K5:K6"/>
    <mergeCell ref="K20:K21"/>
    <mergeCell ref="W3:W4"/>
    <mergeCell ref="K23:K24"/>
    <mergeCell ref="AG3:AG4"/>
    <mergeCell ref="AI3:AI4"/>
    <mergeCell ref="K17:K18"/>
    <mergeCell ref="U3:U4"/>
    <mergeCell ref="L3:L4"/>
    <mergeCell ref="I12:I13"/>
    <mergeCell ref="A14:A16"/>
    <mergeCell ref="A3:A4"/>
    <mergeCell ref="G5:G6"/>
    <mergeCell ref="E3:E4"/>
    <mergeCell ref="A7:A9"/>
    <mergeCell ref="B7:B9"/>
    <mergeCell ref="C7:C9"/>
    <mergeCell ref="AS7:AS9"/>
    <mergeCell ref="AT7:AT9"/>
    <mergeCell ref="B12:B13"/>
    <mergeCell ref="J7:J8"/>
    <mergeCell ref="E12:E13"/>
    <mergeCell ref="D10:D11"/>
    <mergeCell ref="D12:D13"/>
    <mergeCell ref="D14:D15"/>
    <mergeCell ref="B14:B16"/>
    <mergeCell ref="C14:C16"/>
    <mergeCell ref="E14:E16"/>
    <mergeCell ref="F14:F16"/>
    <mergeCell ref="G14:G16"/>
    <mergeCell ref="A5:A6"/>
    <mergeCell ref="AN3:AN4"/>
    <mergeCell ref="H14:H15"/>
    <mergeCell ref="A10:A11"/>
    <mergeCell ref="V1:W1"/>
    <mergeCell ref="D3:D4"/>
    <mergeCell ref="D5:D6"/>
    <mergeCell ref="D7:D8"/>
    <mergeCell ref="S1:U1"/>
    <mergeCell ref="AE3:AE4"/>
    <mergeCell ref="H3:H4"/>
    <mergeCell ref="J3:J4"/>
    <mergeCell ref="AB3:AB4"/>
    <mergeCell ref="N3:N4"/>
    <mergeCell ref="E7:E9"/>
    <mergeCell ref="F7:F9"/>
    <mergeCell ref="G7:G9"/>
    <mergeCell ref="L7:L9"/>
    <mergeCell ref="V3:V4"/>
    <mergeCell ref="X3:X4"/>
    <mergeCell ref="I7:I8"/>
    <mergeCell ref="K7:K8"/>
    <mergeCell ref="E5:E6"/>
    <mergeCell ref="C2:F2"/>
    <mergeCell ref="C3:C4"/>
    <mergeCell ref="C35:C37"/>
    <mergeCell ref="I56:I57"/>
    <mergeCell ref="L32:L34"/>
    <mergeCell ref="G32:G34"/>
    <mergeCell ref="F32:F34"/>
    <mergeCell ref="E32:E34"/>
    <mergeCell ref="E35:E37"/>
    <mergeCell ref="F35:F37"/>
    <mergeCell ref="G35:G37"/>
    <mergeCell ref="L35:L37"/>
    <mergeCell ref="E41:E43"/>
    <mergeCell ref="F41:F43"/>
    <mergeCell ref="G41:G43"/>
    <mergeCell ref="L41:L43"/>
    <mergeCell ref="E47:E49"/>
    <mergeCell ref="F47:F49"/>
    <mergeCell ref="C38:C40"/>
    <mergeCell ref="E38:E40"/>
    <mergeCell ref="K35:K36"/>
    <mergeCell ref="I41:I42"/>
    <mergeCell ref="K50:K51"/>
    <mergeCell ref="H41:H42"/>
    <mergeCell ref="K47:K48"/>
    <mergeCell ref="BG38:BG40"/>
    <mergeCell ref="BH38:BH40"/>
    <mergeCell ref="AS38:AS40"/>
    <mergeCell ref="AT38:AT40"/>
    <mergeCell ref="AU38:AU40"/>
    <mergeCell ref="BG41:BG43"/>
    <mergeCell ref="BH41:BH43"/>
    <mergeCell ref="BI41:BI43"/>
    <mergeCell ref="A44:A46"/>
    <mergeCell ref="B44:B46"/>
    <mergeCell ref="C44:C46"/>
    <mergeCell ref="E44:E46"/>
    <mergeCell ref="F44:F46"/>
    <mergeCell ref="G44:G46"/>
    <mergeCell ref="L44:L46"/>
    <mergeCell ref="BG44:BG46"/>
    <mergeCell ref="BH44:BH46"/>
    <mergeCell ref="BI44:BI46"/>
    <mergeCell ref="AS41:AS43"/>
    <mergeCell ref="AT41:AT43"/>
    <mergeCell ref="AU41:AU43"/>
    <mergeCell ref="AS44:AS46"/>
    <mergeCell ref="AT44:AT46"/>
    <mergeCell ref="AU44:AU46"/>
    <mergeCell ref="BH47:BH49"/>
    <mergeCell ref="BI47:BI49"/>
    <mergeCell ref="A50:A52"/>
    <mergeCell ref="B50:B52"/>
    <mergeCell ref="C50:C52"/>
    <mergeCell ref="E50:E52"/>
    <mergeCell ref="F50:F52"/>
    <mergeCell ref="G50:G52"/>
    <mergeCell ref="L50:L52"/>
    <mergeCell ref="BG50:BG52"/>
    <mergeCell ref="BH50:BH52"/>
    <mergeCell ref="BI50:BI52"/>
    <mergeCell ref="AS47:AS49"/>
    <mergeCell ref="AT47:AT49"/>
    <mergeCell ref="AU47:AU49"/>
    <mergeCell ref="AS50:AS52"/>
    <mergeCell ref="AT50:AT52"/>
    <mergeCell ref="AU50:AU52"/>
    <mergeCell ref="D50:D51"/>
    <mergeCell ref="A47:A49"/>
    <mergeCell ref="B47:B49"/>
    <mergeCell ref="C47:C49"/>
    <mergeCell ref="BG47:BG49"/>
    <mergeCell ref="BH53:BH55"/>
    <mergeCell ref="BI53:BI55"/>
    <mergeCell ref="A56:A58"/>
    <mergeCell ref="B56:B58"/>
    <mergeCell ref="C56:C58"/>
    <mergeCell ref="E56:E58"/>
    <mergeCell ref="F56:F58"/>
    <mergeCell ref="G56:G58"/>
    <mergeCell ref="L56:L58"/>
    <mergeCell ref="BG56:BG58"/>
    <mergeCell ref="BH56:BH58"/>
    <mergeCell ref="BI56:BI58"/>
    <mergeCell ref="AS53:AS55"/>
    <mergeCell ref="AT53:AT55"/>
    <mergeCell ref="AU53:AU55"/>
    <mergeCell ref="AS56:AS58"/>
    <mergeCell ref="AT56:AT58"/>
    <mergeCell ref="AU56:AU58"/>
    <mergeCell ref="D53:D54"/>
    <mergeCell ref="D56:D57"/>
    <mergeCell ref="A53:A55"/>
    <mergeCell ref="B53:B55"/>
    <mergeCell ref="C53:C55"/>
    <mergeCell ref="BG53:BG55"/>
    <mergeCell ref="BI59:BI61"/>
    <mergeCell ref="A62:A64"/>
    <mergeCell ref="B62:B64"/>
    <mergeCell ref="C62:C64"/>
    <mergeCell ref="E62:E64"/>
    <mergeCell ref="F62:F64"/>
    <mergeCell ref="G62:G64"/>
    <mergeCell ref="L62:L64"/>
    <mergeCell ref="BG62:BG64"/>
    <mergeCell ref="BH62:BH64"/>
    <mergeCell ref="BI62:BI64"/>
    <mergeCell ref="AS59:AS61"/>
    <mergeCell ref="AT59:AT61"/>
    <mergeCell ref="AU59:AU61"/>
    <mergeCell ref="AS62:AS64"/>
    <mergeCell ref="AT62:AT64"/>
    <mergeCell ref="AU62:AU64"/>
    <mergeCell ref="BA59:BA61"/>
    <mergeCell ref="BA62:BA64"/>
    <mergeCell ref="A59:A61"/>
    <mergeCell ref="B59:B61"/>
    <mergeCell ref="C59:C61"/>
    <mergeCell ref="J62:J63"/>
    <mergeCell ref="D59:D60"/>
    <mergeCell ref="BH65:BH67"/>
    <mergeCell ref="F59:F61"/>
    <mergeCell ref="G59:G61"/>
    <mergeCell ref="L59:L61"/>
    <mergeCell ref="BG59:BG61"/>
    <mergeCell ref="BH59:BH61"/>
    <mergeCell ref="BI65:BI67"/>
    <mergeCell ref="A68:A70"/>
    <mergeCell ref="B68:B70"/>
    <mergeCell ref="C68:C70"/>
    <mergeCell ref="E68:E70"/>
    <mergeCell ref="F68:F70"/>
    <mergeCell ref="G68:G70"/>
    <mergeCell ref="L68:L70"/>
    <mergeCell ref="BG68:BG70"/>
    <mergeCell ref="BH68:BH70"/>
    <mergeCell ref="BI68:BI70"/>
    <mergeCell ref="AS65:AS67"/>
    <mergeCell ref="AT65:AT67"/>
    <mergeCell ref="AU65:AU67"/>
    <mergeCell ref="AS68:AS70"/>
    <mergeCell ref="AT68:AT70"/>
    <mergeCell ref="AU68:AU70"/>
    <mergeCell ref="BA65:BA67"/>
    <mergeCell ref="BG71:BG73"/>
    <mergeCell ref="BH71:BH73"/>
    <mergeCell ref="BI71:BI73"/>
    <mergeCell ref="A74:A76"/>
    <mergeCell ref="B74:B76"/>
    <mergeCell ref="C74:C76"/>
    <mergeCell ref="D74:D75"/>
    <mergeCell ref="E74:E76"/>
    <mergeCell ref="F74:F76"/>
    <mergeCell ref="G74:G76"/>
    <mergeCell ref="H74:H75"/>
    <mergeCell ref="I74:I75"/>
    <mergeCell ref="J74:J75"/>
    <mergeCell ref="K74:K75"/>
    <mergeCell ref="L74:L76"/>
    <mergeCell ref="BG74:BG76"/>
    <mergeCell ref="BH74:BH76"/>
    <mergeCell ref="A71:A73"/>
    <mergeCell ref="B71:B73"/>
    <mergeCell ref="C71:C73"/>
    <mergeCell ref="D71:D72"/>
    <mergeCell ref="E71:E73"/>
    <mergeCell ref="F71:F73"/>
    <mergeCell ref="G71:G73"/>
    <mergeCell ref="G80:G82"/>
    <mergeCell ref="BI74:BI76"/>
    <mergeCell ref="A77:A79"/>
    <mergeCell ref="B77:B79"/>
    <mergeCell ref="C77:C79"/>
    <mergeCell ref="D77:D78"/>
    <mergeCell ref="E77:E79"/>
    <mergeCell ref="F77:F79"/>
    <mergeCell ref="G77:G79"/>
    <mergeCell ref="H77:H78"/>
    <mergeCell ref="I77:I78"/>
    <mergeCell ref="L77:L79"/>
    <mergeCell ref="BG77:BG79"/>
    <mergeCell ref="BH77:BH79"/>
    <mergeCell ref="BI77:BI79"/>
    <mergeCell ref="BI80:BI82"/>
    <mergeCell ref="A80:A82"/>
    <mergeCell ref="B80:B82"/>
    <mergeCell ref="K77:K78"/>
    <mergeCell ref="J77:J78"/>
    <mergeCell ref="C80:C82"/>
    <mergeCell ref="A83:A85"/>
    <mergeCell ref="B83:B85"/>
    <mergeCell ref="C83:C85"/>
    <mergeCell ref="E83:E85"/>
    <mergeCell ref="F83:F85"/>
    <mergeCell ref="G83:G85"/>
    <mergeCell ref="L83:L85"/>
    <mergeCell ref="BG83:BG85"/>
    <mergeCell ref="BH83:BH85"/>
    <mergeCell ref="I83:I84"/>
    <mergeCell ref="BI83:BI85"/>
    <mergeCell ref="AS80:AS82"/>
    <mergeCell ref="AT80:AT82"/>
    <mergeCell ref="AU80:AU82"/>
    <mergeCell ref="AS83:AS85"/>
    <mergeCell ref="AT83:AT85"/>
    <mergeCell ref="AU83:AU85"/>
    <mergeCell ref="J80:J81"/>
    <mergeCell ref="K80:K81"/>
    <mergeCell ref="L80:L82"/>
    <mergeCell ref="BG80:BG82"/>
    <mergeCell ref="BH80:BH82"/>
    <mergeCell ref="BG86:BG88"/>
    <mergeCell ref="BH86:BH88"/>
    <mergeCell ref="A86:A88"/>
    <mergeCell ref="B86:B88"/>
    <mergeCell ref="C86:C88"/>
    <mergeCell ref="D86:D87"/>
    <mergeCell ref="E86:E88"/>
    <mergeCell ref="F86:F88"/>
    <mergeCell ref="G86:G88"/>
    <mergeCell ref="H86:H87"/>
    <mergeCell ref="I86:I87"/>
    <mergeCell ref="BI86:BI88"/>
    <mergeCell ref="A89:A91"/>
    <mergeCell ref="B89:B91"/>
    <mergeCell ref="C89:C91"/>
    <mergeCell ref="D89:D90"/>
    <mergeCell ref="E89:E91"/>
    <mergeCell ref="F89:F91"/>
    <mergeCell ref="G89:G91"/>
    <mergeCell ref="H89:H90"/>
    <mergeCell ref="I89:I90"/>
    <mergeCell ref="J89:J90"/>
    <mergeCell ref="K89:K90"/>
    <mergeCell ref="L89:L91"/>
    <mergeCell ref="BG89:BG91"/>
    <mergeCell ref="BH89:BH91"/>
    <mergeCell ref="BI89:BI91"/>
    <mergeCell ref="AS86:AS88"/>
    <mergeCell ref="AT86:AT88"/>
    <mergeCell ref="AT89:AT91"/>
    <mergeCell ref="AU89:AU91"/>
    <mergeCell ref="AU86:AU88"/>
    <mergeCell ref="AS89:AS91"/>
    <mergeCell ref="J86:J87"/>
    <mergeCell ref="K86:K87"/>
    <mergeCell ref="AS71:AS73"/>
    <mergeCell ref="AT71:AT73"/>
    <mergeCell ref="AU71:AU73"/>
    <mergeCell ref="AS74:AS76"/>
    <mergeCell ref="AT74:AT76"/>
    <mergeCell ref="AU74:AU76"/>
    <mergeCell ref="AS77:AS79"/>
    <mergeCell ref="AT77:AT79"/>
    <mergeCell ref="AU77:AU79"/>
    <mergeCell ref="A17:A19"/>
    <mergeCell ref="B17:B19"/>
    <mergeCell ref="C17:C19"/>
    <mergeCell ref="E17:E19"/>
    <mergeCell ref="F17:F19"/>
    <mergeCell ref="G17:G19"/>
    <mergeCell ref="L17:L19"/>
    <mergeCell ref="AS17:AS19"/>
    <mergeCell ref="AT17:AT19"/>
    <mergeCell ref="BH17:BH19"/>
    <mergeCell ref="BI17:BI19"/>
    <mergeCell ref="BA14:BA16"/>
    <mergeCell ref="BA17:BA19"/>
    <mergeCell ref="BG14:BG16"/>
    <mergeCell ref="AT14:AT16"/>
    <mergeCell ref="AU14:AU16"/>
    <mergeCell ref="D17:D18"/>
    <mergeCell ref="I17:I18"/>
    <mergeCell ref="L14:L16"/>
    <mergeCell ref="AS14:AS16"/>
    <mergeCell ref="BA71:BA73"/>
    <mergeCell ref="BA74:BA76"/>
    <mergeCell ref="BA77:BA79"/>
    <mergeCell ref="BA80:BA82"/>
    <mergeCell ref="BA83:BA85"/>
    <mergeCell ref="BA86:BA88"/>
    <mergeCell ref="BA89:BA91"/>
    <mergeCell ref="BA32:BA34"/>
    <mergeCell ref="BA35:BA37"/>
    <mergeCell ref="BA38:BA40"/>
    <mergeCell ref="BA41:BA43"/>
    <mergeCell ref="BA44:BA46"/>
    <mergeCell ref="BA47:BA49"/>
    <mergeCell ref="BA50:BA52"/>
    <mergeCell ref="BA53:BA55"/>
    <mergeCell ref="BA56:BA58"/>
    <mergeCell ref="BA23:BA25"/>
    <mergeCell ref="BG23:BG25"/>
    <mergeCell ref="BH23:BH25"/>
    <mergeCell ref="BI23:BI25"/>
    <mergeCell ref="BA26:BA28"/>
    <mergeCell ref="BG26:BG28"/>
    <mergeCell ref="BH26:BH28"/>
    <mergeCell ref="BI26:BI28"/>
    <mergeCell ref="BA29:BA31"/>
    <mergeCell ref="BG29:BG31"/>
    <mergeCell ref="BH29:BH31"/>
    <mergeCell ref="BI29:BI31"/>
  </mergeCells>
  <phoneticPr fontId="25" type="noConversion"/>
  <printOptions horizontalCentered="1"/>
  <pageMargins left="0.15763888888888899" right="0.118055555555556" top="0.47222222222222199" bottom="0.39374999999999999" header="0.511811023622047" footer="0.511811023622047"/>
  <pageSetup paperSize="9"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OR(AND(N$3&lt;&gt;"",WEEKDAY(N$3,2)&gt;=6),COUNTIF(공휴일테이블!$A:$A,N$3)&gt;0)</xm:f>
            <x14:dxf>
              <font>
                <color rgb="FFC00000"/>
              </font>
              <fill>
                <patternFill patternType="solid">
                  <fgColor rgb="FFFDE9E7"/>
                  <bgColor rgb="FFFDE9E7"/>
                </patternFill>
              </fill>
            </x14:dxf>
          </x14:cfRule>
          <xm:sqref>N3:AR122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46"/>
  <sheetViews>
    <sheetView zoomScaleNormal="100" workbookViewId="0">
      <selection activeCellId="1" sqref="E11 A1"/>
    </sheetView>
  </sheetViews>
  <sheetFormatPr defaultColWidth="9" defaultRowHeight="16.5" customHeight="1"/>
  <cols>
    <col min="1" max="1" width="11.125" style="63" customWidth="1"/>
    <col min="2" max="2" width="11" style="63" customWidth="1"/>
    <col min="3" max="257" width="9" style="63" customWidth="1"/>
  </cols>
  <sheetData>
    <row r="1" spans="1:2" ht="16.5" customHeight="1">
      <c r="A1" s="64" t="s">
        <v>159</v>
      </c>
      <c r="B1" s="64" t="s">
        <v>160</v>
      </c>
    </row>
    <row r="2" spans="1:2" ht="16.5" customHeight="1">
      <c r="A2" s="65">
        <v>46023</v>
      </c>
      <c r="B2" s="64" t="s">
        <v>161</v>
      </c>
    </row>
    <row r="3" spans="1:2" ht="16.5" customHeight="1">
      <c r="A3" s="65">
        <v>46082</v>
      </c>
      <c r="B3" s="64" t="s">
        <v>162</v>
      </c>
    </row>
    <row r="4" spans="1:2" ht="16.5" customHeight="1">
      <c r="A4" s="65">
        <v>46143</v>
      </c>
      <c r="B4" s="64" t="s">
        <v>163</v>
      </c>
    </row>
    <row r="5" spans="1:2" ht="16.5" customHeight="1">
      <c r="A5" s="65">
        <v>46147</v>
      </c>
      <c r="B5" s="64" t="s">
        <v>164</v>
      </c>
    </row>
    <row r="6" spans="1:2" ht="16.5" customHeight="1">
      <c r="A6" s="65">
        <v>46179</v>
      </c>
      <c r="B6" s="64" t="s">
        <v>165</v>
      </c>
    </row>
    <row r="7" spans="1:2" ht="16.5" customHeight="1">
      <c r="A7" s="65">
        <v>46249</v>
      </c>
      <c r="B7" s="64" t="s">
        <v>166</v>
      </c>
    </row>
    <row r="8" spans="1:2" ht="16.5" customHeight="1">
      <c r="A8" s="65">
        <v>46298</v>
      </c>
      <c r="B8" s="64" t="s">
        <v>167</v>
      </c>
    </row>
    <row r="9" spans="1:2" ht="16.5" customHeight="1">
      <c r="A9" s="65">
        <v>46304</v>
      </c>
      <c r="B9" s="64" t="s">
        <v>168</v>
      </c>
    </row>
    <row r="10" spans="1:2" ht="16.5" customHeight="1">
      <c r="A10" s="65">
        <v>46381</v>
      </c>
      <c r="B10" s="64" t="s">
        <v>169</v>
      </c>
    </row>
    <row r="11" spans="1:2" ht="16.5" customHeight="1">
      <c r="A11" s="65">
        <v>46388</v>
      </c>
      <c r="B11" s="64" t="s">
        <v>161</v>
      </c>
    </row>
    <row r="12" spans="1:2" ht="16.5" customHeight="1">
      <c r="A12" s="65">
        <v>46447</v>
      </c>
      <c r="B12" s="64" t="s">
        <v>162</v>
      </c>
    </row>
    <row r="13" spans="1:2" ht="16.5" customHeight="1">
      <c r="A13" s="65">
        <v>46508</v>
      </c>
      <c r="B13" s="64" t="s">
        <v>163</v>
      </c>
    </row>
    <row r="14" spans="1:2" ht="16.5" customHeight="1">
      <c r="A14" s="65">
        <v>46512</v>
      </c>
      <c r="B14" s="64" t="s">
        <v>164</v>
      </c>
    </row>
    <row r="15" spans="1:2" ht="16.5" customHeight="1">
      <c r="A15" s="65">
        <v>46544</v>
      </c>
      <c r="B15" s="64" t="s">
        <v>165</v>
      </c>
    </row>
    <row r="16" spans="1:2" ht="16.5" customHeight="1">
      <c r="A16" s="65">
        <v>46614</v>
      </c>
      <c r="B16" s="64" t="s">
        <v>166</v>
      </c>
    </row>
    <row r="17" spans="1:2" ht="16.5" customHeight="1">
      <c r="A17" s="65">
        <v>46663</v>
      </c>
      <c r="B17" s="64" t="s">
        <v>167</v>
      </c>
    </row>
    <row r="18" spans="1:2" ht="16.5" customHeight="1">
      <c r="A18" s="65">
        <v>46669</v>
      </c>
      <c r="B18" s="64" t="s">
        <v>168</v>
      </c>
    </row>
    <row r="19" spans="1:2" ht="16.5" customHeight="1">
      <c r="A19" s="65">
        <v>46746</v>
      </c>
      <c r="B19" s="64" t="s">
        <v>169</v>
      </c>
    </row>
    <row r="20" spans="1:2" ht="16.5" customHeight="1">
      <c r="A20" s="65">
        <v>46753</v>
      </c>
      <c r="B20" s="64" t="s">
        <v>161</v>
      </c>
    </row>
    <row r="21" spans="1:2" ht="16.5" customHeight="1">
      <c r="A21" s="65">
        <v>46813</v>
      </c>
      <c r="B21" s="64" t="s">
        <v>162</v>
      </c>
    </row>
    <row r="22" spans="1:2" ht="16.5" customHeight="1">
      <c r="A22" s="65">
        <v>46874</v>
      </c>
      <c r="B22" s="64" t="s">
        <v>163</v>
      </c>
    </row>
    <row r="23" spans="1:2" ht="16.5" customHeight="1">
      <c r="A23" s="65">
        <v>46878</v>
      </c>
      <c r="B23" s="64" t="s">
        <v>164</v>
      </c>
    </row>
    <row r="24" spans="1:2" ht="16.5" customHeight="1">
      <c r="A24" s="65">
        <v>46910</v>
      </c>
      <c r="B24" s="64" t="s">
        <v>165</v>
      </c>
    </row>
    <row r="25" spans="1:2" ht="16.5" customHeight="1">
      <c r="A25" s="65">
        <v>46980</v>
      </c>
      <c r="B25" s="64" t="s">
        <v>166</v>
      </c>
    </row>
    <row r="26" spans="1:2" ht="16.5" customHeight="1">
      <c r="A26" s="65">
        <v>47029</v>
      </c>
      <c r="B26" s="64" t="s">
        <v>167</v>
      </c>
    </row>
    <row r="27" spans="1:2" ht="16.5" customHeight="1">
      <c r="A27" s="65">
        <v>47035</v>
      </c>
      <c r="B27" s="64" t="s">
        <v>168</v>
      </c>
    </row>
    <row r="28" spans="1:2" ht="16.5" customHeight="1">
      <c r="A28" s="65">
        <v>47112</v>
      </c>
      <c r="B28" s="64" t="s">
        <v>169</v>
      </c>
    </row>
    <row r="29" spans="1:2" ht="16.5" customHeight="1">
      <c r="A29" s="65">
        <v>47119</v>
      </c>
      <c r="B29" s="64" t="s">
        <v>161</v>
      </c>
    </row>
    <row r="30" spans="1:2" ht="16.5" customHeight="1">
      <c r="A30" s="65">
        <v>47178</v>
      </c>
      <c r="B30" s="64" t="s">
        <v>162</v>
      </c>
    </row>
    <row r="31" spans="1:2" ht="16.5" customHeight="1">
      <c r="A31" s="65">
        <v>47239</v>
      </c>
      <c r="B31" s="64" t="s">
        <v>163</v>
      </c>
    </row>
    <row r="32" spans="1:2" ht="16.5" customHeight="1">
      <c r="A32" s="65">
        <v>47243</v>
      </c>
      <c r="B32" s="64" t="s">
        <v>164</v>
      </c>
    </row>
    <row r="33" spans="1:2" ht="16.5" customHeight="1">
      <c r="A33" s="65">
        <v>47275</v>
      </c>
      <c r="B33" s="64" t="s">
        <v>165</v>
      </c>
    </row>
    <row r="34" spans="1:2" ht="16.5" customHeight="1">
      <c r="A34" s="65">
        <v>47345</v>
      </c>
      <c r="B34" s="64" t="s">
        <v>166</v>
      </c>
    </row>
    <row r="35" spans="1:2" ht="16.5" customHeight="1">
      <c r="A35" s="65">
        <v>47394</v>
      </c>
      <c r="B35" s="64" t="s">
        <v>167</v>
      </c>
    </row>
    <row r="36" spans="1:2" ht="16.5" customHeight="1">
      <c r="A36" s="65">
        <v>47400</v>
      </c>
      <c r="B36" s="64" t="s">
        <v>168</v>
      </c>
    </row>
    <row r="37" spans="1:2" ht="16.5" customHeight="1">
      <c r="A37" s="65">
        <v>47477</v>
      </c>
      <c r="B37" s="64" t="s">
        <v>169</v>
      </c>
    </row>
    <row r="38" spans="1:2" ht="16.5" customHeight="1">
      <c r="A38" s="65">
        <v>47484</v>
      </c>
      <c r="B38" s="64" t="s">
        <v>161</v>
      </c>
    </row>
    <row r="39" spans="1:2" ht="16.5" customHeight="1">
      <c r="A39" s="65">
        <v>47543</v>
      </c>
      <c r="B39" s="64" t="s">
        <v>162</v>
      </c>
    </row>
    <row r="40" spans="1:2" ht="16.5" customHeight="1">
      <c r="A40" s="65">
        <v>47604</v>
      </c>
      <c r="B40" s="64" t="s">
        <v>163</v>
      </c>
    </row>
    <row r="41" spans="1:2" ht="16.5" customHeight="1">
      <c r="A41" s="65">
        <v>47608</v>
      </c>
      <c r="B41" s="64" t="s">
        <v>164</v>
      </c>
    </row>
    <row r="42" spans="1:2" ht="16.5" customHeight="1">
      <c r="A42" s="65">
        <v>47640</v>
      </c>
      <c r="B42" s="64" t="s">
        <v>165</v>
      </c>
    </row>
    <row r="43" spans="1:2" ht="16.5" customHeight="1">
      <c r="A43" s="65">
        <v>47710</v>
      </c>
      <c r="B43" s="64" t="s">
        <v>166</v>
      </c>
    </row>
    <row r="44" spans="1:2" ht="16.5" customHeight="1">
      <c r="A44" s="65">
        <v>47759</v>
      </c>
      <c r="B44" s="64" t="s">
        <v>167</v>
      </c>
    </row>
    <row r="45" spans="1:2" ht="16.5" customHeight="1">
      <c r="A45" s="65">
        <v>47765</v>
      </c>
      <c r="B45" s="64" t="s">
        <v>168</v>
      </c>
    </row>
    <row r="46" spans="1:2" ht="16.5" customHeight="1">
      <c r="A46" s="65">
        <v>47842</v>
      </c>
      <c r="B46" s="64" t="s">
        <v>169</v>
      </c>
    </row>
  </sheetData>
  <phoneticPr fontId="2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31"/>
  <sheetViews>
    <sheetView zoomScaleNormal="100" workbookViewId="0">
      <selection activeCell="J16" sqref="J16"/>
    </sheetView>
  </sheetViews>
  <sheetFormatPr defaultColWidth="9" defaultRowHeight="16.5" customHeight="1"/>
  <cols>
    <col min="1" max="1" width="2.5" style="66" customWidth="1"/>
    <col min="2" max="2" width="4.75" style="66" customWidth="1"/>
    <col min="3" max="3" width="12.75" style="66" customWidth="1"/>
    <col min="4" max="4" width="8.5" style="67" customWidth="1"/>
    <col min="5" max="15" width="14.375" style="66" customWidth="1"/>
    <col min="16" max="16" width="2.625" style="66" customWidth="1"/>
    <col min="17" max="20" width="11.625" style="66" customWidth="1"/>
    <col min="21" max="257" width="9" style="66" customWidth="1"/>
  </cols>
  <sheetData>
    <row r="1" spans="2:15" ht="31.5" customHeight="1">
      <c r="B1" s="264" t="str">
        <f>'2026년5월전체'!S1&amp;"년 "&amp;'2026년5월전체'!V1&amp;"월 급여대장"</f>
        <v>2026년 5월 급여대장</v>
      </c>
      <c r="C1" s="265"/>
      <c r="D1" s="266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2:15" ht="16.5" customHeight="1">
      <c r="B2" s="269" t="s">
        <v>170</v>
      </c>
      <c r="C2" s="195"/>
      <c r="D2" s="270" t="str">
        <f>TEXT(DATE('2026년5월전체'!S1,'2026년5월전체'!V1,1),"yyyy.m.d")&amp;" ~ "&amp;TEXT(EOMONTH(DATE('2026년5월전체'!S1,'2026년5월전체'!V1,1),0),"yyyy.m.d")</f>
        <v>2026.5.1 ~ 2026.5.31</v>
      </c>
      <c r="E2" s="195"/>
      <c r="F2" s="195"/>
      <c r="G2" s="195"/>
      <c r="H2" s="195"/>
      <c r="K2" s="267" t="s">
        <v>171</v>
      </c>
      <c r="L2" s="195"/>
      <c r="M2" s="268">
        <f>DATE('2026년5월전체'!S1,'2026년5월전체'!V1+1,15)</f>
        <v>46188</v>
      </c>
      <c r="N2" s="195"/>
      <c r="O2" s="195"/>
    </row>
    <row r="3" spans="2:15" ht="16.5" customHeight="1">
      <c r="B3" s="271" t="s">
        <v>172</v>
      </c>
      <c r="C3" s="68" t="s">
        <v>173</v>
      </c>
      <c r="D3" s="69" t="s">
        <v>174</v>
      </c>
      <c r="E3" s="258" t="s">
        <v>175</v>
      </c>
      <c r="F3" s="215"/>
      <c r="G3" s="215"/>
      <c r="H3" s="215"/>
      <c r="I3" s="216"/>
      <c r="J3" s="258" t="s">
        <v>176</v>
      </c>
      <c r="K3" s="215"/>
      <c r="L3" s="215"/>
      <c r="M3" s="215"/>
      <c r="N3" s="215"/>
      <c r="O3" s="216"/>
    </row>
    <row r="4" spans="2:15" ht="16.5" customHeight="1">
      <c r="B4" s="212"/>
      <c r="C4" s="68" t="s">
        <v>177</v>
      </c>
      <c r="D4" s="69" t="s">
        <v>20</v>
      </c>
      <c r="E4" s="69" t="s">
        <v>21</v>
      </c>
      <c r="F4" s="69" t="s">
        <v>22</v>
      </c>
      <c r="G4" s="69" t="s">
        <v>23</v>
      </c>
      <c r="H4" s="69" t="s">
        <v>24</v>
      </c>
      <c r="I4" s="69" t="s">
        <v>25</v>
      </c>
      <c r="J4" s="69" t="s">
        <v>27</v>
      </c>
      <c r="K4" s="69" t="s">
        <v>28</v>
      </c>
      <c r="L4" s="69" t="s">
        <v>29</v>
      </c>
      <c r="M4" s="69" t="s">
        <v>37</v>
      </c>
      <c r="N4" s="69" t="s">
        <v>178</v>
      </c>
      <c r="O4" s="69" t="s">
        <v>179</v>
      </c>
    </row>
    <row r="5" spans="2:15" ht="17.25" customHeight="1">
      <c r="B5" s="212"/>
      <c r="C5" s="70" t="s">
        <v>180</v>
      </c>
      <c r="D5" s="70"/>
      <c r="E5" s="71" t="s">
        <v>33</v>
      </c>
      <c r="F5" s="71" t="s">
        <v>34</v>
      </c>
      <c r="G5" s="71" t="s">
        <v>181</v>
      </c>
      <c r="H5" s="71" t="s">
        <v>25</v>
      </c>
      <c r="I5" s="72" t="s">
        <v>182</v>
      </c>
      <c r="J5" s="71" t="s">
        <v>183</v>
      </c>
      <c r="K5" s="71" t="s">
        <v>184</v>
      </c>
      <c r="L5" s="71" t="s">
        <v>30</v>
      </c>
      <c r="M5" s="71" t="s">
        <v>185</v>
      </c>
      <c r="N5" s="71"/>
      <c r="O5" s="71" t="s">
        <v>186</v>
      </c>
    </row>
    <row r="6" spans="2:15" ht="17.25" customHeight="1">
      <c r="B6" s="262">
        <v>1</v>
      </c>
      <c r="C6" s="73" t="str">
        <f>'2026년5월전체'!C7</f>
        <v>정찬영</v>
      </c>
      <c r="D6" s="73" t="str">
        <f>IF(OR('2026년5월전체'!E7="일용",'2026년5월전체'!E7="시급"),'2026년5월전체'!AS7,"")</f>
        <v/>
      </c>
      <c r="E6" s="74">
        <f>'2026년5월전체'!AV7</f>
        <v>4600000</v>
      </c>
      <c r="F6" s="74">
        <f>'2026년5월전체'!AW7</f>
        <v>200000</v>
      </c>
      <c r="G6" s="74">
        <f>'2026년5월전체'!AX7</f>
        <v>200000</v>
      </c>
      <c r="H6" s="74">
        <f>'2026년5월전체'!AY7</f>
        <v>100000</v>
      </c>
      <c r="I6" s="75">
        <f>'2026년5월전체'!AZ7</f>
        <v>0</v>
      </c>
      <c r="J6" s="75">
        <f>'2026년5월전체'!BB7</f>
        <v>0</v>
      </c>
      <c r="K6" s="75">
        <f>'2026년5월전체'!BC7</f>
        <v>0</v>
      </c>
      <c r="L6" s="75">
        <f>'2026년5월전체'!BD7</f>
        <v>0</v>
      </c>
      <c r="M6" s="75">
        <f>'2026년5월전체'!BE7</f>
        <v>0</v>
      </c>
      <c r="N6" s="75">
        <f>'2026년5월전체'!BF7</f>
        <v>0</v>
      </c>
      <c r="O6" s="76">
        <f>SUM(J6:N6,J7:N7)</f>
        <v>0</v>
      </c>
    </row>
    <row r="7" spans="2:15" ht="17.25" customHeight="1">
      <c r="B7" s="263"/>
      <c r="C7" s="77">
        <f>'2026년5월전체'!G7</f>
        <v>45870</v>
      </c>
      <c r="D7" s="78" t="str">
        <f>IF(OR('2026년5월전체'!E7="일용",'2026년5월전체'!E7="시급"),'2026년5월전체'!AU7,"")</f>
        <v/>
      </c>
      <c r="E7" s="79">
        <f>'2026년5월전체'!AV8</f>
        <v>0</v>
      </c>
      <c r="F7" s="80">
        <f>'2026년5월전체'!AW8</f>
        <v>0</v>
      </c>
      <c r="G7" s="79">
        <f>'2026년5월전체'!AX8</f>
        <v>0</v>
      </c>
      <c r="H7" s="79">
        <f>'2026년5월전체'!AY8</f>
        <v>0</v>
      </c>
      <c r="I7" s="81">
        <f>SUM(E6:I6,E7:H7)</f>
        <v>5100000</v>
      </c>
      <c r="J7" s="80">
        <f>'2026년5월전체'!BB8</f>
        <v>0</v>
      </c>
      <c r="K7" s="80">
        <f>'2026년5월전체'!BC8</f>
        <v>0</v>
      </c>
      <c r="L7" s="80">
        <f>'2026년5월전체'!BD8</f>
        <v>0</v>
      </c>
      <c r="M7" s="80">
        <f>'2026년5월전체'!BE8</f>
        <v>0</v>
      </c>
      <c r="N7" s="80">
        <f>'2026년5월전체'!BF8</f>
        <v>0</v>
      </c>
      <c r="O7" s="81">
        <f>I7-O6</f>
        <v>5100000</v>
      </c>
    </row>
    <row r="8" spans="2:15" ht="17.25" customHeight="1">
      <c r="B8" s="262">
        <v>2</v>
      </c>
      <c r="C8" s="73" t="str">
        <f>'2026년5월전체'!C10</f>
        <v>박정선</v>
      </c>
      <c r="D8" s="73" t="str">
        <f>IF(OR('2026년5월전체'!E10="일용",'2026년5월전체'!E10="시급"),'2026년5월전체'!AS10,"")</f>
        <v/>
      </c>
      <c r="E8" s="74">
        <f>'2026년5월전체'!AV10</f>
        <v>3800000</v>
      </c>
      <c r="F8" s="74">
        <f>'2026년5월전체'!AW10</f>
        <v>200000</v>
      </c>
      <c r="G8" s="74">
        <f>'2026년5월전체'!AX10</f>
        <v>0</v>
      </c>
      <c r="H8" s="74">
        <f>'2026년5월전체'!AY10</f>
        <v>0</v>
      </c>
      <c r="I8" s="75">
        <f>'2026년5월전체'!AZ10</f>
        <v>0</v>
      </c>
      <c r="J8" s="75">
        <f>'2026년5월전체'!BB10</f>
        <v>0</v>
      </c>
      <c r="K8" s="75">
        <f>'2026년5월전체'!BC10</f>
        <v>0</v>
      </c>
      <c r="L8" s="75">
        <f>'2026년5월전체'!BD10</f>
        <v>0</v>
      </c>
      <c r="M8" s="75">
        <f>'2026년5월전체'!BE10</f>
        <v>0</v>
      </c>
      <c r="N8" s="75">
        <f>'2026년5월전체'!BF10</f>
        <v>0</v>
      </c>
      <c r="O8" s="76">
        <f>SUM(J8:N8,J9:N9)</f>
        <v>0</v>
      </c>
    </row>
    <row r="9" spans="2:15" ht="17.25" customHeight="1">
      <c r="B9" s="263"/>
      <c r="C9" s="77">
        <f>'2026년5월전체'!G10</f>
        <v>45870</v>
      </c>
      <c r="D9" s="78" t="str">
        <f>IF(OR('2026년5월전체'!E10="일용",'2026년5월전체'!E10="시급"),'2026년5월전체'!AU10,"")</f>
        <v/>
      </c>
      <c r="E9" s="79">
        <f>'2026년5월전체'!AV11</f>
        <v>0</v>
      </c>
      <c r="F9" s="80">
        <f>'2026년5월전체'!AW11</f>
        <v>0</v>
      </c>
      <c r="G9" s="79">
        <f>'2026년5월전체'!AX11</f>
        <v>0</v>
      </c>
      <c r="H9" s="79">
        <f>'2026년5월전체'!AY11</f>
        <v>0</v>
      </c>
      <c r="I9" s="81">
        <f>SUM(E8:I8,E9:H9)</f>
        <v>4000000</v>
      </c>
      <c r="J9" s="80">
        <f>'2026년5월전체'!BB11</f>
        <v>0</v>
      </c>
      <c r="K9" s="80">
        <f>'2026년5월전체'!BC11</f>
        <v>0</v>
      </c>
      <c r="L9" s="80">
        <f>'2026년5월전체'!BD11</f>
        <v>0</v>
      </c>
      <c r="M9" s="80">
        <f>'2026년5월전체'!BE11</f>
        <v>0</v>
      </c>
      <c r="N9" s="80">
        <f>'2026년5월전체'!BF11</f>
        <v>0</v>
      </c>
      <c r="O9" s="81">
        <f>I9-O8</f>
        <v>4000000</v>
      </c>
    </row>
    <row r="10" spans="2:15" ht="17.25" customHeight="1">
      <c r="B10" s="262">
        <v>3</v>
      </c>
      <c r="C10" s="73" t="str">
        <f>'2026년5월전체'!C12</f>
        <v>문지수</v>
      </c>
      <c r="D10" s="73" t="str">
        <f>IF(OR('2026년5월전체'!E12="일용",'2026년5월전체'!E12="시급"),'2026년5월전체'!AS12,"")</f>
        <v/>
      </c>
      <c r="E10" s="74">
        <f>'2026년5월전체'!AV12</f>
        <v>2800000</v>
      </c>
      <c r="F10" s="74">
        <f>'2026년5월전체'!AW12</f>
        <v>200000</v>
      </c>
      <c r="G10" s="74">
        <f>'2026년5월전체'!AX12</f>
        <v>0</v>
      </c>
      <c r="H10" s="74">
        <f>'2026년5월전체'!AY12</f>
        <v>0</v>
      </c>
      <c r="I10" s="75">
        <f>'2026년5월전체'!AZ12</f>
        <v>0</v>
      </c>
      <c r="J10" s="75">
        <f>'2026년5월전체'!BB12</f>
        <v>0</v>
      </c>
      <c r="K10" s="75">
        <f>'2026년5월전체'!BC12</f>
        <v>0</v>
      </c>
      <c r="L10" s="75">
        <f>'2026년5월전체'!BD12</f>
        <v>0</v>
      </c>
      <c r="M10" s="75">
        <f>'2026년5월전체'!BE12</f>
        <v>0</v>
      </c>
      <c r="N10" s="75">
        <f>'2026년5월전체'!BF12</f>
        <v>0</v>
      </c>
      <c r="O10" s="76">
        <f>SUM(J10:N10,J11:N11)</f>
        <v>0</v>
      </c>
    </row>
    <row r="11" spans="2:15" ht="17.25" customHeight="1">
      <c r="B11" s="263"/>
      <c r="C11" s="77">
        <f>'2026년5월전체'!G12</f>
        <v>45870</v>
      </c>
      <c r="D11" s="78" t="str">
        <f>IF(OR('2026년5월전체'!E12="일용",'2026년5월전체'!E12="시급"),'2026년5월전체'!AU12,"")</f>
        <v/>
      </c>
      <c r="E11" s="79">
        <f>'2026년5월전체'!AV13</f>
        <v>0</v>
      </c>
      <c r="F11" s="80">
        <f>'2026년5월전체'!AW13</f>
        <v>0</v>
      </c>
      <c r="G11" s="79">
        <f>'2026년5월전체'!AX13</f>
        <v>0</v>
      </c>
      <c r="H11" s="79">
        <f>'2026년5월전체'!AY13</f>
        <v>0</v>
      </c>
      <c r="I11" s="81">
        <f>SUM(E10:I10,E11:H11)</f>
        <v>3000000</v>
      </c>
      <c r="J11" s="80">
        <f>'2026년5월전체'!BB13</f>
        <v>0</v>
      </c>
      <c r="K11" s="80">
        <f>'2026년5월전체'!BC13</f>
        <v>0</v>
      </c>
      <c r="L11" s="80">
        <f>'2026년5월전체'!BD13</f>
        <v>0</v>
      </c>
      <c r="M11" s="80">
        <f>'2026년5월전체'!BE13</f>
        <v>0</v>
      </c>
      <c r="N11" s="80">
        <f>'2026년5월전체'!BF13</f>
        <v>0</v>
      </c>
      <c r="O11" s="81">
        <f>I11-O10</f>
        <v>3000000</v>
      </c>
    </row>
    <row r="12" spans="2:15" ht="17.25" customHeight="1">
      <c r="B12" s="262">
        <v>4</v>
      </c>
      <c r="C12" s="73" t="str">
        <f>'2026년5월전체'!C14</f>
        <v>김인진</v>
      </c>
      <c r="D12" s="73">
        <f>IF(OR('2026년5월전체'!E14="일용",'2026년5월전체'!E14="시급"),'2026년5월전체'!AS14,"")</f>
        <v>12</v>
      </c>
      <c r="E12" s="74">
        <f>'2026년5월전체'!AV14</f>
        <v>0</v>
      </c>
      <c r="F12" s="74">
        <f>'2026년5월전체'!AW14</f>
        <v>200000</v>
      </c>
      <c r="G12" s="74">
        <f>'2026년5월전체'!AX14</f>
        <v>200000</v>
      </c>
      <c r="H12" s="74">
        <f>'2026년5월전체'!AY14</f>
        <v>0</v>
      </c>
      <c r="I12" s="75">
        <f>'2026년5월전체'!AZ14</f>
        <v>0</v>
      </c>
      <c r="J12" s="75">
        <f>'2026년5월전체'!BB14</f>
        <v>0</v>
      </c>
      <c r="K12" s="75">
        <f>'2026년5월전체'!BC14</f>
        <v>0</v>
      </c>
      <c r="L12" s="75">
        <f>'2026년5월전체'!BD14</f>
        <v>0</v>
      </c>
      <c r="M12" s="75">
        <f>'2026년5월전체'!BE14</f>
        <v>0</v>
      </c>
      <c r="N12" s="75">
        <f>'2026년5월전체'!BF14</f>
        <v>0</v>
      </c>
      <c r="O12" s="76">
        <f>SUM(J12:N12,J13:N13)</f>
        <v>0</v>
      </c>
    </row>
    <row r="13" spans="2:15" ht="17.25" customHeight="1">
      <c r="B13" s="263"/>
      <c r="C13" s="77">
        <f>'2026년5월전체'!G14</f>
        <v>45870</v>
      </c>
      <c r="D13" s="79">
        <f>IF(OR('2026년5월전체'!E14="일용",'2026년5월전체'!E14="시급"),'2026년5월전체'!AU14,"")</f>
        <v>160000</v>
      </c>
      <c r="E13" s="79">
        <f>'2026년5월전체'!AV15</f>
        <v>0</v>
      </c>
      <c r="F13" s="80">
        <f>'2026년5월전체'!AW15</f>
        <v>0</v>
      </c>
      <c r="G13" s="79">
        <f>'2026년5월전체'!AX15</f>
        <v>0</v>
      </c>
      <c r="H13" s="79">
        <f>'2026년5월전체'!AY15</f>
        <v>0</v>
      </c>
      <c r="I13" s="81">
        <f>SUM(E12:I12,E13:H13)</f>
        <v>400000</v>
      </c>
      <c r="J13" s="80">
        <f>'2026년5월전체'!BB15</f>
        <v>0</v>
      </c>
      <c r="K13" s="80">
        <f>'2026년5월전체'!BC15</f>
        <v>0</v>
      </c>
      <c r="L13" s="80">
        <f>'2026년5월전체'!BD15</f>
        <v>0</v>
      </c>
      <c r="M13" s="80">
        <f>'2026년5월전체'!BE15</f>
        <v>0</v>
      </c>
      <c r="N13" s="80">
        <f>'2026년5월전체'!BF15</f>
        <v>0</v>
      </c>
      <c r="O13" s="81">
        <f>I13-O12</f>
        <v>400000</v>
      </c>
    </row>
    <row r="14" spans="2:15" ht="17.25" customHeight="1">
      <c r="B14" s="262">
        <v>5</v>
      </c>
      <c r="C14" s="73" t="str">
        <f>'2026년5월전체'!C17</f>
        <v>다오 티엔 키우</v>
      </c>
      <c r="D14" s="73">
        <f>IF(OR('2026년5월전체'!E17="일용",'2026년5월전체'!E17="시급"),'2026년5월전체'!AS17,"")</f>
        <v>11</v>
      </c>
      <c r="E14" s="74">
        <f>'2026년5월전체'!AV17</f>
        <v>0</v>
      </c>
      <c r="F14" s="74">
        <f>'2026년5월전체'!AW17</f>
        <v>200000</v>
      </c>
      <c r="G14" s="74">
        <f>'2026년5월전체'!AX17</f>
        <v>200000</v>
      </c>
      <c r="H14" s="74">
        <f>'2026년5월전체'!AY17</f>
        <v>0</v>
      </c>
      <c r="I14" s="75">
        <f>'2026년5월전체'!AZ17</f>
        <v>0</v>
      </c>
      <c r="J14" s="75">
        <f>'2026년5월전체'!BB17</f>
        <v>0</v>
      </c>
      <c r="K14" s="75">
        <f>'2026년5월전체'!BC17</f>
        <v>0</v>
      </c>
      <c r="L14" s="75">
        <f>'2026년5월전체'!BD17</f>
        <v>0</v>
      </c>
      <c r="M14" s="75">
        <f>'2026년5월전체'!BE17</f>
        <v>100000</v>
      </c>
      <c r="N14" s="75">
        <f>'2026년5월전체'!BF17</f>
        <v>0</v>
      </c>
      <c r="O14" s="76">
        <f>SUM(J14:N14,J15:N15)</f>
        <v>100000</v>
      </c>
    </row>
    <row r="15" spans="2:15" ht="17.25" customHeight="1">
      <c r="B15" s="263"/>
      <c r="C15" s="77">
        <f>'2026년5월전체'!G17</f>
        <v>0</v>
      </c>
      <c r="D15" s="79">
        <f>IF(OR('2026년5월전체'!E17="일용",'2026년5월전체'!E17="시급"),'2026년5월전체'!AU17,"")</f>
        <v>130000</v>
      </c>
      <c r="E15" s="79">
        <f>'2026년5월전체'!AV18</f>
        <v>0</v>
      </c>
      <c r="F15" s="80">
        <f>'2026년5월전체'!AW18</f>
        <v>0</v>
      </c>
      <c r="G15" s="79">
        <f>'2026년5월전체'!AX18</f>
        <v>0</v>
      </c>
      <c r="H15" s="79">
        <f>'2026년5월전체'!AY18</f>
        <v>0</v>
      </c>
      <c r="I15" s="81">
        <f>SUM(E14:I14,E15:H15)</f>
        <v>400000</v>
      </c>
      <c r="J15" s="80">
        <f>'2026년5월전체'!BB18</f>
        <v>0</v>
      </c>
      <c r="K15" s="80">
        <f>'2026년5월전체'!BC18</f>
        <v>0</v>
      </c>
      <c r="L15" s="80">
        <f>'2026년5월전체'!BD18</f>
        <v>0</v>
      </c>
      <c r="M15" s="80">
        <f>'2026년5월전체'!BE18</f>
        <v>0</v>
      </c>
      <c r="N15" s="80">
        <f>'2026년5월전체'!BF18</f>
        <v>0</v>
      </c>
      <c r="O15" s="81">
        <f>I15-O14</f>
        <v>300000</v>
      </c>
    </row>
    <row r="16" spans="2:15" ht="17.25" customHeight="1">
      <c r="B16" s="262">
        <v>6</v>
      </c>
      <c r="C16" s="73" t="str">
        <f>'2026년5월전체'!C20</f>
        <v>린 팍</v>
      </c>
      <c r="D16" s="73">
        <f>IF(OR('2026년5월전체'!E20="일용",'2026년5월전체'!E20="시급"),'2026년5월전체'!AS20,"")</f>
        <v>12</v>
      </c>
      <c r="E16" s="74">
        <f>'2026년5월전체'!AV20</f>
        <v>1956880</v>
      </c>
      <c r="F16" s="74">
        <f>'2026년5월전체'!AW20</f>
        <v>200000</v>
      </c>
      <c r="G16" s="74">
        <f>'2026년5월전체'!AX20</f>
        <v>0</v>
      </c>
      <c r="H16" s="74">
        <f>'2026년5월전체'!AY20</f>
        <v>0</v>
      </c>
      <c r="I16" s="75">
        <f>'2026년5월전체'!AZ20</f>
        <v>0</v>
      </c>
      <c r="J16" s="75">
        <f>'2026년5월전체'!BB20</f>
        <v>0</v>
      </c>
      <c r="K16" s="75">
        <f>'2026년5월전체'!BC20</f>
        <v>0</v>
      </c>
      <c r="L16" s="75">
        <f>'2026년5월전체'!BD20</f>
        <v>0</v>
      </c>
      <c r="M16" s="75">
        <f>'2026년5월전체'!BE20</f>
        <v>100000</v>
      </c>
      <c r="N16" s="75">
        <f>'2026년5월전체'!BF20</f>
        <v>0</v>
      </c>
      <c r="O16" s="76">
        <f>SUM(J16:N16,J17:N17)</f>
        <v>100000</v>
      </c>
    </row>
    <row r="17" spans="2:15" ht="17.25" customHeight="1">
      <c r="B17" s="263"/>
      <c r="C17" s="77">
        <f>'2026년5월전체'!G20</f>
        <v>0</v>
      </c>
      <c r="D17" s="79">
        <f>IF(OR('2026년5월전체'!E20="일용",'2026년5월전체'!E20="시급"),'2026년5월전체'!AU20,"")</f>
        <v>10320</v>
      </c>
      <c r="E17" s="79">
        <f>'2026년5월전체'!AV21</f>
        <v>0</v>
      </c>
      <c r="F17" s="80">
        <f>'2026년5월전체'!AW21</f>
        <v>0</v>
      </c>
      <c r="G17" s="79">
        <f>'2026년5월전체'!AX21</f>
        <v>0</v>
      </c>
      <c r="H17" s="79">
        <f>'2026년5월전체'!AY21</f>
        <v>0</v>
      </c>
      <c r="I17" s="81">
        <f>SUM(E16:I16,E17:H17)</f>
        <v>2156880</v>
      </c>
      <c r="J17" s="80">
        <f>'2026년5월전체'!BB21</f>
        <v>0</v>
      </c>
      <c r="K17" s="80">
        <f>'2026년5월전체'!BC21</f>
        <v>0</v>
      </c>
      <c r="L17" s="80">
        <f>'2026년5월전체'!BD21</f>
        <v>0</v>
      </c>
      <c r="M17" s="80">
        <f>'2026년5월전체'!BE21</f>
        <v>0</v>
      </c>
      <c r="N17" s="80">
        <f>'2026년5월전체'!BF21</f>
        <v>0</v>
      </c>
      <c r="O17" s="81">
        <f>I17-O16</f>
        <v>2056880</v>
      </c>
    </row>
    <row r="18" spans="2:15" ht="17.25" customHeight="1">
      <c r="B18" s="262">
        <v>7</v>
      </c>
      <c r="C18" s="73" t="str">
        <f>'2026년5월전체'!C23</f>
        <v>트란 넉 추언</v>
      </c>
      <c r="D18" s="73">
        <f>IF(OR('2026년5월전체'!E23="일용",'2026년5월전체'!E23="시급"),'2026년5월전체'!AS23,"")</f>
        <v>12</v>
      </c>
      <c r="E18" s="74">
        <f>'2026년5월전체'!AV23</f>
        <v>1956880</v>
      </c>
      <c r="F18" s="74">
        <f>'2026년5월전체'!AW23</f>
        <v>200000</v>
      </c>
      <c r="G18" s="74">
        <f>'2026년5월전체'!AX23</f>
        <v>0</v>
      </c>
      <c r="H18" s="74">
        <f>'2026년5월전체'!AY23</f>
        <v>0</v>
      </c>
      <c r="I18" s="75">
        <f>'2026년5월전체'!AZ23</f>
        <v>0</v>
      </c>
      <c r="J18" s="75">
        <f>'2026년5월전체'!BB23</f>
        <v>0</v>
      </c>
      <c r="K18" s="75">
        <f>'2026년5월전체'!BC23</f>
        <v>0</v>
      </c>
      <c r="L18" s="75">
        <f>'2026년5월전체'!BD23</f>
        <v>0</v>
      </c>
      <c r="M18" s="75">
        <f>'2026년5월전체'!BE23</f>
        <v>100000</v>
      </c>
      <c r="N18" s="75">
        <f>'2026년5월전체'!BF23</f>
        <v>0</v>
      </c>
      <c r="O18" s="76">
        <f>SUM(J18:N18,J19:N19)</f>
        <v>100000</v>
      </c>
    </row>
    <row r="19" spans="2:15" ht="17.25" customHeight="1">
      <c r="B19" s="263"/>
      <c r="C19" s="77">
        <f>'2026년5월전체'!G23</f>
        <v>0</v>
      </c>
      <c r="D19" s="79">
        <f>IF(OR('2026년5월전체'!E23="일용",'2026년5월전체'!E23="시급"),'2026년5월전체'!AU23,"")</f>
        <v>10320</v>
      </c>
      <c r="E19" s="79">
        <f>'2026년5월전체'!AV24</f>
        <v>0</v>
      </c>
      <c r="F19" s="80">
        <f>'2026년5월전체'!AW24</f>
        <v>0</v>
      </c>
      <c r="G19" s="79">
        <f>'2026년5월전체'!AX24</f>
        <v>0</v>
      </c>
      <c r="H19" s="79">
        <f>'2026년5월전체'!AY24</f>
        <v>0</v>
      </c>
      <c r="I19" s="81">
        <f>SUM(E18:I18,E19:H19)</f>
        <v>2156880</v>
      </c>
      <c r="J19" s="80">
        <f>'2026년5월전체'!BB24</f>
        <v>0</v>
      </c>
      <c r="K19" s="80">
        <f>'2026년5월전체'!BC24</f>
        <v>0</v>
      </c>
      <c r="L19" s="80">
        <f>'2026년5월전체'!BD24</f>
        <v>0</v>
      </c>
      <c r="M19" s="80">
        <f>'2026년5월전체'!BE24</f>
        <v>0</v>
      </c>
      <c r="N19" s="80">
        <f>'2026년5월전체'!BF24</f>
        <v>0</v>
      </c>
      <c r="O19" s="81">
        <f>I19-O18</f>
        <v>2056880</v>
      </c>
    </row>
    <row r="20" spans="2:15" ht="17.25" customHeight="1">
      <c r="B20" s="262">
        <v>8</v>
      </c>
      <c r="C20" s="73" t="str">
        <f>'2026년5월전체'!C26</f>
        <v>따이</v>
      </c>
      <c r="D20" s="73">
        <f>IF(OR('2026년5월전체'!E26="일용",'2026년5월전체'!E26="시급"),'2026년5월전체'!AS26,"")</f>
        <v>12</v>
      </c>
      <c r="E20" s="74">
        <f>'2026년5월전체'!AV26</f>
        <v>1956880</v>
      </c>
      <c r="F20" s="74">
        <f>'2026년5월전체'!AW26</f>
        <v>200000</v>
      </c>
      <c r="G20" s="74">
        <f>'2026년5월전체'!AX26</f>
        <v>0</v>
      </c>
      <c r="H20" s="74">
        <f>'2026년5월전체'!AY26</f>
        <v>0</v>
      </c>
      <c r="I20" s="75">
        <f>'2026년5월전체'!AZ26</f>
        <v>0</v>
      </c>
      <c r="J20" s="75">
        <f>'2026년5월전체'!BB26</f>
        <v>0</v>
      </c>
      <c r="K20" s="75">
        <f>'2026년5월전체'!BC26</f>
        <v>0</v>
      </c>
      <c r="L20" s="75">
        <f>'2026년5월전체'!BD26</f>
        <v>0</v>
      </c>
      <c r="M20" s="75">
        <f>'2026년5월전체'!BE26</f>
        <v>100000</v>
      </c>
      <c r="N20" s="75">
        <f>'2026년5월전체'!BF26</f>
        <v>0</v>
      </c>
      <c r="O20" s="76">
        <f>SUM(J20:N20,J21:N21)</f>
        <v>100000</v>
      </c>
    </row>
    <row r="21" spans="2:15" ht="17.25" customHeight="1">
      <c r="B21" s="263"/>
      <c r="C21" s="77">
        <f>'2026년5월전체'!G26</f>
        <v>0</v>
      </c>
      <c r="D21" s="79">
        <f>IF(OR('2026년5월전체'!E26="일용",'2026년5월전체'!E26="시급"),'2026년5월전체'!AU26,"")</f>
        <v>10320</v>
      </c>
      <c r="E21" s="79">
        <f>'2026년5월전체'!AV27</f>
        <v>0</v>
      </c>
      <c r="F21" s="80">
        <f>'2026년5월전체'!AW27</f>
        <v>0</v>
      </c>
      <c r="G21" s="79">
        <f>'2026년5월전체'!AX27</f>
        <v>0</v>
      </c>
      <c r="H21" s="79">
        <f>'2026년5월전체'!AY27</f>
        <v>0</v>
      </c>
      <c r="I21" s="81">
        <f>SUM(E20:I20,E21:H21)</f>
        <v>2156880</v>
      </c>
      <c r="J21" s="80">
        <f>'2026년5월전체'!BB27</f>
        <v>0</v>
      </c>
      <c r="K21" s="80">
        <f>'2026년5월전체'!BC27</f>
        <v>0</v>
      </c>
      <c r="L21" s="80">
        <f>'2026년5월전체'!BD27</f>
        <v>0</v>
      </c>
      <c r="M21" s="80">
        <f>'2026년5월전체'!BE27</f>
        <v>0</v>
      </c>
      <c r="N21" s="80">
        <f>'2026년5월전체'!BF27</f>
        <v>0</v>
      </c>
      <c r="O21" s="81">
        <f>I21-O20</f>
        <v>2056880</v>
      </c>
    </row>
    <row r="22" spans="2:15" ht="17.25" customHeight="1">
      <c r="B22" s="262">
        <v>9</v>
      </c>
      <c r="C22" s="73" t="str">
        <f>'2026년5월전체'!C29</f>
        <v>황피선</v>
      </c>
      <c r="D22" s="73">
        <f>IF(OR('2026년5월전체'!E29="일용",'2026년5월전체'!E29="시급"),'2026년5월전체'!AS29,"")</f>
        <v>12</v>
      </c>
      <c r="E22" s="74">
        <f>'2026년5월전체'!AV29</f>
        <v>1956880</v>
      </c>
      <c r="F22" s="74">
        <f>'2026년5월전체'!AW29</f>
        <v>200000</v>
      </c>
      <c r="G22" s="74">
        <f>'2026년5월전체'!AX29</f>
        <v>0</v>
      </c>
      <c r="H22" s="74">
        <f>'2026년5월전체'!AY29</f>
        <v>0</v>
      </c>
      <c r="I22" s="75">
        <f>'2026년5월전체'!AZ29</f>
        <v>0</v>
      </c>
      <c r="J22" s="75">
        <f>'2026년5월전체'!BB29</f>
        <v>0</v>
      </c>
      <c r="K22" s="75">
        <f>'2026년5월전체'!BC29</f>
        <v>0</v>
      </c>
      <c r="L22" s="75">
        <f>'2026년5월전체'!BD29</f>
        <v>0</v>
      </c>
      <c r="M22" s="75">
        <f>'2026년5월전체'!BE29</f>
        <v>100000</v>
      </c>
      <c r="N22" s="75">
        <f>'2026년5월전체'!BF29</f>
        <v>0</v>
      </c>
      <c r="O22" s="76">
        <f>SUM(J22:N22,J23:N23)</f>
        <v>100000</v>
      </c>
    </row>
    <row r="23" spans="2:15" ht="17.25" customHeight="1">
      <c r="B23" s="263"/>
      <c r="C23" s="77">
        <f>'2026년5월전체'!G29</f>
        <v>0</v>
      </c>
      <c r="D23" s="79">
        <f>IF(OR('2026년5월전체'!E29="일용",'2026년5월전체'!E29="시급"),'2026년5월전체'!AU29,"")</f>
        <v>10320</v>
      </c>
      <c r="E23" s="79">
        <f>'2026년5월전체'!AV30</f>
        <v>0</v>
      </c>
      <c r="F23" s="80">
        <f>'2026년5월전체'!AW30</f>
        <v>0</v>
      </c>
      <c r="G23" s="79">
        <f>'2026년5월전체'!AX30</f>
        <v>0</v>
      </c>
      <c r="H23" s="79">
        <f>'2026년5월전체'!AY30</f>
        <v>0</v>
      </c>
      <c r="I23" s="81">
        <f>SUM(E22:I22,E23:H23)</f>
        <v>2156880</v>
      </c>
      <c r="J23" s="80">
        <f>'2026년5월전체'!BB30</f>
        <v>0</v>
      </c>
      <c r="K23" s="80">
        <f>'2026년5월전체'!BC30</f>
        <v>0</v>
      </c>
      <c r="L23" s="80">
        <f>'2026년5월전체'!BD30</f>
        <v>0</v>
      </c>
      <c r="M23" s="80">
        <f>'2026년5월전체'!BE30</f>
        <v>0</v>
      </c>
      <c r="N23" s="80">
        <f>'2026년5월전체'!BF30</f>
        <v>0</v>
      </c>
      <c r="O23" s="81">
        <f>I23-O22</f>
        <v>2056880</v>
      </c>
    </row>
    <row r="24" spans="2:15" ht="17.25" customHeight="1">
      <c r="B24" s="262"/>
      <c r="C24" s="73"/>
      <c r="D24" s="73"/>
      <c r="E24" s="74"/>
      <c r="F24" s="74"/>
      <c r="G24" s="74"/>
      <c r="H24" s="74"/>
      <c r="I24" s="75"/>
      <c r="J24" s="75"/>
      <c r="K24" s="75"/>
      <c r="L24" s="75"/>
      <c r="M24" s="75"/>
      <c r="N24" s="75"/>
      <c r="O24" s="76"/>
    </row>
    <row r="25" spans="2:15" ht="17.25" customHeight="1">
      <c r="B25" s="263"/>
      <c r="C25" s="77"/>
      <c r="D25" s="79"/>
      <c r="E25" s="79"/>
      <c r="F25" s="80"/>
      <c r="G25" s="79"/>
      <c r="H25" s="79"/>
      <c r="I25" s="81"/>
      <c r="J25" s="80"/>
      <c r="K25" s="80"/>
      <c r="L25" s="80"/>
      <c r="M25" s="80"/>
      <c r="N25" s="80"/>
      <c r="O25" s="81"/>
    </row>
    <row r="26" spans="2:15" ht="17.25" customHeight="1">
      <c r="B26" s="262"/>
      <c r="C26" s="73"/>
      <c r="D26" s="73"/>
      <c r="E26" s="74"/>
      <c r="F26" s="74"/>
      <c r="G26" s="74"/>
      <c r="H26" s="74"/>
      <c r="I26" s="75"/>
      <c r="J26" s="75"/>
      <c r="K26" s="75"/>
      <c r="L26" s="75"/>
      <c r="M26" s="75"/>
      <c r="N26" s="75"/>
      <c r="O26" s="76"/>
    </row>
    <row r="27" spans="2:15" ht="17.25" customHeight="1">
      <c r="B27" s="263"/>
      <c r="C27" s="77"/>
      <c r="D27" s="79"/>
      <c r="E27" s="79"/>
      <c r="F27" s="80"/>
      <c r="G27" s="79"/>
      <c r="H27" s="79"/>
      <c r="I27" s="81"/>
      <c r="J27" s="80"/>
      <c r="K27" s="80"/>
      <c r="L27" s="80"/>
      <c r="M27" s="80"/>
      <c r="N27" s="80"/>
      <c r="O27" s="81"/>
    </row>
    <row r="28" spans="2:15" ht="17.25" customHeight="1">
      <c r="B28" s="262"/>
      <c r="C28" s="73"/>
      <c r="D28" s="73"/>
      <c r="E28" s="74"/>
      <c r="F28" s="74"/>
      <c r="G28" s="74"/>
      <c r="H28" s="74"/>
      <c r="I28" s="75"/>
      <c r="J28" s="75"/>
      <c r="K28" s="75"/>
      <c r="L28" s="75"/>
      <c r="M28" s="75"/>
      <c r="N28" s="75"/>
      <c r="O28" s="76"/>
    </row>
    <row r="29" spans="2:15" ht="17.25" customHeight="1">
      <c r="B29" s="263"/>
      <c r="C29" s="77"/>
      <c r="D29" s="79"/>
      <c r="E29" s="79"/>
      <c r="F29" s="80"/>
      <c r="G29" s="79"/>
      <c r="H29" s="79"/>
      <c r="I29" s="81"/>
      <c r="J29" s="80"/>
      <c r="K29" s="80"/>
      <c r="L29" s="80"/>
      <c r="M29" s="80"/>
      <c r="N29" s="80"/>
      <c r="O29" s="81"/>
    </row>
    <row r="30" spans="2:15" ht="17.25" customHeight="1">
      <c r="B30" s="258" t="s">
        <v>158</v>
      </c>
      <c r="C30" s="259"/>
      <c r="D30" s="82"/>
      <c r="E30" s="83">
        <f t="shared" ref="E30:M30" si="0">E6+E8+E10+E12+E14+E16+E18+E20+E22+E24+E26+E28</f>
        <v>19027520</v>
      </c>
      <c r="F30" s="83">
        <f t="shared" si="0"/>
        <v>1800000</v>
      </c>
      <c r="G30" s="83">
        <f t="shared" si="0"/>
        <v>600000</v>
      </c>
      <c r="H30" s="83">
        <f t="shared" si="0"/>
        <v>100000</v>
      </c>
      <c r="I30" s="83">
        <f t="shared" si="0"/>
        <v>0</v>
      </c>
      <c r="J30" s="83">
        <f t="shared" si="0"/>
        <v>0</v>
      </c>
      <c r="K30" s="83">
        <f t="shared" si="0"/>
        <v>0</v>
      </c>
      <c r="L30" s="83">
        <f t="shared" si="0"/>
        <v>0</v>
      </c>
      <c r="M30" s="83">
        <f t="shared" si="0"/>
        <v>500000</v>
      </c>
      <c r="N30" s="84"/>
      <c r="O30" s="76">
        <f>SUM(J30:N30,J31:N31)</f>
        <v>500000</v>
      </c>
    </row>
    <row r="31" spans="2:15" ht="16.5" customHeight="1">
      <c r="B31" s="260"/>
      <c r="C31" s="261"/>
      <c r="D31" s="85"/>
      <c r="E31" s="83">
        <f t="shared" ref="E31:M31" si="1">E7+E9+E11+E13+E15+E17+E19+E21+E23+E25+E27+E29</f>
        <v>0</v>
      </c>
      <c r="F31" s="83">
        <f t="shared" si="1"/>
        <v>0</v>
      </c>
      <c r="G31" s="83">
        <f t="shared" si="1"/>
        <v>0</v>
      </c>
      <c r="H31" s="83">
        <f t="shared" si="1"/>
        <v>0</v>
      </c>
      <c r="I31" s="86">
        <f t="shared" si="1"/>
        <v>21527520</v>
      </c>
      <c r="J31" s="83">
        <f t="shared" si="1"/>
        <v>0</v>
      </c>
      <c r="K31" s="83">
        <f t="shared" si="1"/>
        <v>0</v>
      </c>
      <c r="L31" s="83">
        <f t="shared" si="1"/>
        <v>0</v>
      </c>
      <c r="M31" s="83">
        <f t="shared" si="1"/>
        <v>0</v>
      </c>
      <c r="N31" s="83"/>
      <c r="O31" s="86">
        <f>I31-O30</f>
        <v>21027520</v>
      </c>
    </row>
  </sheetData>
  <mergeCells count="21">
    <mergeCell ref="J3:O3"/>
    <mergeCell ref="B1:O1"/>
    <mergeCell ref="K2:L2"/>
    <mergeCell ref="B20:B21"/>
    <mergeCell ref="B22:B23"/>
    <mergeCell ref="B16:B17"/>
    <mergeCell ref="M2:O2"/>
    <mergeCell ref="B2:C2"/>
    <mergeCell ref="D2:H2"/>
    <mergeCell ref="B3:B5"/>
    <mergeCell ref="E3:I3"/>
    <mergeCell ref="B30:C31"/>
    <mergeCell ref="B10:B11"/>
    <mergeCell ref="B28:B29"/>
    <mergeCell ref="B6:B7"/>
    <mergeCell ref="B24:B25"/>
    <mergeCell ref="B26:B27"/>
    <mergeCell ref="B12:B13"/>
    <mergeCell ref="B18:B19"/>
    <mergeCell ref="B8:B9"/>
    <mergeCell ref="B14:B15"/>
  </mergeCells>
  <phoneticPr fontId="25" type="noConversion"/>
  <printOptions horizontalCentered="1"/>
  <pageMargins left="0.51180555555555596" right="0.51180555555555596" top="0.74791666666666701" bottom="0.35416666666666702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31"/>
  <sheetViews>
    <sheetView zoomScaleNormal="100" workbookViewId="0">
      <selection activeCell="E25" sqref="E25"/>
    </sheetView>
  </sheetViews>
  <sheetFormatPr defaultColWidth="9" defaultRowHeight="16.5" customHeight="1"/>
  <cols>
    <col min="1" max="1" width="2.5" style="66" customWidth="1"/>
    <col min="2" max="2" width="4.75" style="66" customWidth="1"/>
    <col min="3" max="3" width="12.75" style="66" customWidth="1"/>
    <col min="4" max="4" width="8.5" style="67" customWidth="1"/>
    <col min="5" max="16" width="14.375" style="66" customWidth="1"/>
    <col min="17" max="17" width="2.625" style="66" customWidth="1"/>
    <col min="18" max="21" width="11.625" style="66" customWidth="1"/>
    <col min="22" max="257" width="9" style="66" customWidth="1"/>
  </cols>
  <sheetData>
    <row r="1" spans="2:16" ht="31.5" customHeight="1">
      <c r="B1" s="264" t="str">
        <f>'2026년5월전체'!S1&amp;"년 "&amp;'2026년5월전체'!V1&amp;"월 급여대장"</f>
        <v>2026년 5월 급여대장</v>
      </c>
      <c r="C1" s="265"/>
      <c r="D1" s="266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2:16" ht="16.5" customHeight="1">
      <c r="B2" s="269" t="s">
        <v>170</v>
      </c>
      <c r="C2" s="195"/>
      <c r="D2" s="270" t="str">
        <f>TEXT(DATE('2026년5월전체'!S1,'2026년5월전체'!V1,1),"yyyy.m.d")&amp;" ~ "&amp;TEXT(EOMONTH(DATE('2026년5월전체'!S1,'2026년5월전체'!V1,1),0),"yyyy.m.d")</f>
        <v>2026.5.1 ~ 2026.5.31</v>
      </c>
      <c r="E2" s="195"/>
      <c r="F2" s="195"/>
      <c r="G2" s="195"/>
      <c r="H2" s="195"/>
      <c r="I2" s="87"/>
      <c r="L2" s="267" t="s">
        <v>171</v>
      </c>
      <c r="M2" s="195"/>
      <c r="N2" s="268">
        <f>DATE('2026년5월전체'!S1,'2026년5월전체'!V1+1,15)</f>
        <v>46188</v>
      </c>
      <c r="O2" s="195"/>
      <c r="P2" s="195"/>
    </row>
    <row r="3" spans="2:16" ht="16.5" customHeight="1">
      <c r="B3" s="271" t="s">
        <v>172</v>
      </c>
      <c r="C3" s="68" t="s">
        <v>173</v>
      </c>
      <c r="D3" s="69" t="s">
        <v>174</v>
      </c>
      <c r="E3" s="258" t="s">
        <v>175</v>
      </c>
      <c r="F3" s="215"/>
      <c r="G3" s="215"/>
      <c r="H3" s="215"/>
      <c r="I3" s="215"/>
      <c r="J3" s="216"/>
      <c r="K3" s="258" t="s">
        <v>176</v>
      </c>
      <c r="L3" s="215"/>
      <c r="M3" s="215"/>
      <c r="N3" s="215"/>
      <c r="O3" s="215"/>
      <c r="P3" s="216"/>
    </row>
    <row r="4" spans="2:16" ht="16.5" customHeight="1">
      <c r="B4" s="212"/>
      <c r="C4" s="68" t="s">
        <v>177</v>
      </c>
      <c r="D4" s="69" t="s">
        <v>20</v>
      </c>
      <c r="E4" s="69" t="s">
        <v>21</v>
      </c>
      <c r="F4" s="69" t="s">
        <v>22</v>
      </c>
      <c r="G4" s="69" t="s">
        <v>23</v>
      </c>
      <c r="H4" s="69" t="s">
        <v>24</v>
      </c>
      <c r="I4" s="69" t="s">
        <v>25</v>
      </c>
      <c r="J4" s="69"/>
      <c r="K4" s="69" t="s">
        <v>27</v>
      </c>
      <c r="L4" s="69" t="s">
        <v>28</v>
      </c>
      <c r="M4" s="69" t="s">
        <v>29</v>
      </c>
      <c r="N4" s="69" t="s">
        <v>37</v>
      </c>
      <c r="O4" s="69" t="s">
        <v>31</v>
      </c>
      <c r="P4" s="69" t="s">
        <v>179</v>
      </c>
    </row>
    <row r="5" spans="2:16" ht="17.25" customHeight="1">
      <c r="B5" s="212"/>
      <c r="C5" s="70" t="s">
        <v>180</v>
      </c>
      <c r="D5" s="70"/>
      <c r="E5" s="71" t="s">
        <v>33</v>
      </c>
      <c r="F5" s="71" t="s">
        <v>34</v>
      </c>
      <c r="G5" s="71" t="s">
        <v>35</v>
      </c>
      <c r="H5" s="71" t="s">
        <v>36</v>
      </c>
      <c r="I5" s="71" t="s">
        <v>31</v>
      </c>
      <c r="J5" s="72" t="s">
        <v>182</v>
      </c>
      <c r="K5" s="71" t="s">
        <v>183</v>
      </c>
      <c r="L5" s="71" t="s">
        <v>184</v>
      </c>
      <c r="M5" s="71" t="s">
        <v>30</v>
      </c>
      <c r="N5" s="71" t="s">
        <v>40</v>
      </c>
      <c r="O5" s="71"/>
      <c r="P5" s="71" t="s">
        <v>186</v>
      </c>
    </row>
    <row r="6" spans="2:16" ht="17.25" customHeight="1">
      <c r="B6" s="262">
        <v>1</v>
      </c>
      <c r="C6" s="73" t="str">
        <f>'2026년5월전체'!C32</f>
        <v>이학철</v>
      </c>
      <c r="D6" s="73">
        <f>'2026년5월전체'!AS32</f>
        <v>6</v>
      </c>
      <c r="E6" s="74">
        <f>'2026년5월전체'!AV32</f>
        <v>0</v>
      </c>
      <c r="F6" s="74">
        <f>'2026년5월전체'!AW32</f>
        <v>0</v>
      </c>
      <c r="G6" s="74">
        <f>'2026년5월전체'!AX32</f>
        <v>0</v>
      </c>
      <c r="H6" s="74">
        <f>'2026년5월전체'!AY32</f>
        <v>0</v>
      </c>
      <c r="I6" s="74">
        <f>'2026년5월전체'!AZ32</f>
        <v>0</v>
      </c>
      <c r="J6" s="75"/>
      <c r="K6" s="75">
        <f>'2026년5월전체'!BB32</f>
        <v>0</v>
      </c>
      <c r="L6" s="75">
        <f>'2026년5월전체'!BC32</f>
        <v>0</v>
      </c>
      <c r="M6" s="75">
        <f>'2026년5월전체'!BD32</f>
        <v>0</v>
      </c>
      <c r="N6" s="75">
        <f>'2026년5월전체'!BE32</f>
        <v>0</v>
      </c>
      <c r="O6" s="75">
        <f>'2026년5월전체'!BF32</f>
        <v>0</v>
      </c>
      <c r="P6" s="76">
        <f>SUM(K6:O6,K7:O7)</f>
        <v>0</v>
      </c>
    </row>
    <row r="7" spans="2:16" ht="17.25" customHeight="1">
      <c r="B7" s="263"/>
      <c r="C7" s="77">
        <f>'2026년5월전체'!G32</f>
        <v>0</v>
      </c>
      <c r="D7" s="91">
        <f>'2026년5월전체'!AU32</f>
        <v>150000</v>
      </c>
      <c r="E7" s="79">
        <f>'2026년5월전체'!AV33</f>
        <v>0</v>
      </c>
      <c r="F7" s="80">
        <f>'2026년5월전체'!AW33</f>
        <v>0</v>
      </c>
      <c r="G7" s="79">
        <f>'2026년5월전체'!AX33</f>
        <v>0</v>
      </c>
      <c r="H7" s="79">
        <f>'2026년5월전체'!AY33</f>
        <v>0</v>
      </c>
      <c r="I7" s="79">
        <f>'2026년5월전체'!AZ33</f>
        <v>0</v>
      </c>
      <c r="J7" s="81">
        <f>SUM(E6:I6,E7:I7)</f>
        <v>0</v>
      </c>
      <c r="K7" s="80">
        <f>'2026년5월전체'!BB33</f>
        <v>0</v>
      </c>
      <c r="L7" s="80">
        <f>'2026년5월전체'!BC33</f>
        <v>0</v>
      </c>
      <c r="M7" s="80">
        <f>'2026년5월전체'!BD33</f>
        <v>0</v>
      </c>
      <c r="N7" s="80">
        <f>'2026년5월전체'!BE33</f>
        <v>0</v>
      </c>
      <c r="O7" s="80">
        <f>'2026년5월전체'!BF33</f>
        <v>0</v>
      </c>
      <c r="P7" s="81">
        <f>J7-P6</f>
        <v>0</v>
      </c>
    </row>
    <row r="8" spans="2:16" ht="17.25" customHeight="1">
      <c r="B8" s="262">
        <v>2</v>
      </c>
      <c r="C8" s="73" t="str">
        <f>'2026년5월전체'!C35</f>
        <v>양명상</v>
      </c>
      <c r="D8" s="73">
        <f>'2026년5월전체'!AS35</f>
        <v>11</v>
      </c>
      <c r="E8" s="74">
        <f>'2026년5월전체'!AV35</f>
        <v>0</v>
      </c>
      <c r="F8" s="74">
        <f>'2026년5월전체'!AW35</f>
        <v>0</v>
      </c>
      <c r="G8" s="74">
        <f>'2026년5월전체'!AX35</f>
        <v>0</v>
      </c>
      <c r="H8" s="74">
        <f>'2026년5월전체'!AY35</f>
        <v>0</v>
      </c>
      <c r="I8" s="74">
        <f>'2026년5월전체'!AZ35</f>
        <v>0</v>
      </c>
      <c r="J8" s="75"/>
      <c r="K8" s="75">
        <f>'2026년5월전체'!BB35</f>
        <v>0</v>
      </c>
      <c r="L8" s="75">
        <f>'2026년5월전체'!BC35</f>
        <v>0</v>
      </c>
      <c r="M8" s="75">
        <f>'2026년5월전체'!BD35</f>
        <v>0</v>
      </c>
      <c r="N8" s="75">
        <f>'2026년5월전체'!BE35</f>
        <v>0</v>
      </c>
      <c r="O8" s="75">
        <f>'2026년5월전체'!BF35</f>
        <v>0</v>
      </c>
      <c r="P8" s="76">
        <f>SUM(K8:O8,K9:O9)</f>
        <v>0</v>
      </c>
    </row>
    <row r="9" spans="2:16" ht="17.25" customHeight="1">
      <c r="B9" s="263"/>
      <c r="C9" s="77">
        <f>'2026년5월전체'!G35</f>
        <v>0</v>
      </c>
      <c r="D9" s="91">
        <f>'2026년5월전체'!AU35</f>
        <v>180000</v>
      </c>
      <c r="E9" s="79">
        <f>'2026년5월전체'!AV36</f>
        <v>0</v>
      </c>
      <c r="F9" s="80">
        <f>'2026년5월전체'!AW36</f>
        <v>0</v>
      </c>
      <c r="G9" s="79">
        <f>'2026년5월전체'!AX36</f>
        <v>0</v>
      </c>
      <c r="H9" s="79">
        <f>'2026년5월전체'!AY36</f>
        <v>0</v>
      </c>
      <c r="I9" s="79">
        <f>'2026년5월전체'!AZ36</f>
        <v>0</v>
      </c>
      <c r="J9" s="81">
        <f>SUM(E8:I8,E9:I9)</f>
        <v>0</v>
      </c>
      <c r="K9" s="80">
        <f>'2026년5월전체'!BB36</f>
        <v>0</v>
      </c>
      <c r="L9" s="80">
        <f>'2026년5월전체'!BC36</f>
        <v>0</v>
      </c>
      <c r="M9" s="80">
        <f>'2026년5월전체'!BD36</f>
        <v>0</v>
      </c>
      <c r="N9" s="80">
        <f>'2026년5월전체'!BE36</f>
        <v>0</v>
      </c>
      <c r="O9" s="80">
        <f>'2026년5월전체'!BF36</f>
        <v>0</v>
      </c>
      <c r="P9" s="81">
        <f>J9-P8</f>
        <v>0</v>
      </c>
    </row>
    <row r="10" spans="2:16" ht="17.25" customHeight="1">
      <c r="B10" s="262">
        <v>3</v>
      </c>
      <c r="C10" s="73" t="str">
        <f>'2026년5월전체'!C38</f>
        <v>조귀선</v>
      </c>
      <c r="D10" s="73">
        <f>'2026년5월전체'!AS38</f>
        <v>10</v>
      </c>
      <c r="E10" s="74">
        <f>'2026년5월전체'!AV38</f>
        <v>0</v>
      </c>
      <c r="F10" s="74">
        <f>'2026년5월전체'!AW38</f>
        <v>0</v>
      </c>
      <c r="G10" s="74">
        <f>'2026년5월전체'!AX38</f>
        <v>0</v>
      </c>
      <c r="H10" s="74">
        <f>'2026년5월전체'!AY38</f>
        <v>0</v>
      </c>
      <c r="I10" s="74">
        <f>'2026년5월전체'!AZ38</f>
        <v>0</v>
      </c>
      <c r="J10" s="75"/>
      <c r="K10" s="75">
        <f>'2026년5월전체'!BB38</f>
        <v>0</v>
      </c>
      <c r="L10" s="75">
        <f>'2026년5월전체'!BC38</f>
        <v>0</v>
      </c>
      <c r="M10" s="75">
        <f>'2026년5월전체'!BD38</f>
        <v>0</v>
      </c>
      <c r="N10" s="75">
        <f>'2026년5월전체'!BE38</f>
        <v>0</v>
      </c>
      <c r="O10" s="75">
        <f>'2026년5월전체'!BF38</f>
        <v>0</v>
      </c>
      <c r="P10" s="76">
        <f>SUM(K10:O10,K11:O11)</f>
        <v>0</v>
      </c>
    </row>
    <row r="11" spans="2:16" ht="17.25" customHeight="1">
      <c r="B11" s="263"/>
      <c r="C11" s="77">
        <f>'2026년5월전체'!G38</f>
        <v>0</v>
      </c>
      <c r="D11" s="91">
        <f>'2026년5월전체'!AU38</f>
        <v>200000</v>
      </c>
      <c r="E11" s="79">
        <f>'2026년5월전체'!AV39</f>
        <v>0</v>
      </c>
      <c r="F11" s="80">
        <f>'2026년5월전체'!AW39</f>
        <v>0</v>
      </c>
      <c r="G11" s="79">
        <f>'2026년5월전체'!AX39</f>
        <v>0</v>
      </c>
      <c r="H11" s="79">
        <f>'2026년5월전체'!AY39</f>
        <v>0</v>
      </c>
      <c r="I11" s="79">
        <f>'2026년5월전체'!AZ39</f>
        <v>0</v>
      </c>
      <c r="J11" s="81">
        <f>SUM(E10:I10,E11:I11)</f>
        <v>0</v>
      </c>
      <c r="K11" s="80">
        <f>'2026년5월전체'!BB39</f>
        <v>0</v>
      </c>
      <c r="L11" s="80">
        <f>'2026년5월전체'!BC39</f>
        <v>0</v>
      </c>
      <c r="M11" s="80">
        <f>'2026년5월전체'!BD39</f>
        <v>0</v>
      </c>
      <c r="N11" s="80">
        <f>'2026년5월전체'!BE39</f>
        <v>0</v>
      </c>
      <c r="O11" s="80">
        <f>'2026년5월전체'!BF39</f>
        <v>0</v>
      </c>
      <c r="P11" s="81">
        <f>J11-P10</f>
        <v>0</v>
      </c>
    </row>
    <row r="12" spans="2:16" ht="17.25" customHeight="1">
      <c r="B12" s="262">
        <v>4</v>
      </c>
      <c r="C12" s="73" t="str">
        <f>'2026년5월전체'!C41</f>
        <v>이재훈</v>
      </c>
      <c r="D12" s="73">
        <f>'2026년5월전체'!AS41</f>
        <v>11</v>
      </c>
      <c r="E12" s="74">
        <f>'2026년5월전체'!AV41</f>
        <v>0</v>
      </c>
      <c r="F12" s="74">
        <f>'2026년5월전체'!AW41</f>
        <v>0</v>
      </c>
      <c r="G12" s="74">
        <f>'2026년5월전체'!AX41</f>
        <v>0</v>
      </c>
      <c r="H12" s="74">
        <f>'2026년5월전체'!AY41</f>
        <v>0</v>
      </c>
      <c r="I12" s="74">
        <f>'2026년5월전체'!AZ41</f>
        <v>0</v>
      </c>
      <c r="J12" s="75"/>
      <c r="K12" s="75">
        <f>'2026년5월전체'!BB41</f>
        <v>0</v>
      </c>
      <c r="L12" s="75">
        <f>'2026년5월전체'!BC41</f>
        <v>0</v>
      </c>
      <c r="M12" s="75">
        <f>'2026년5월전체'!BD41</f>
        <v>0</v>
      </c>
      <c r="N12" s="75">
        <f>'2026년5월전체'!BE41</f>
        <v>0</v>
      </c>
      <c r="O12" s="75">
        <f>'2026년5월전체'!BF41</f>
        <v>0</v>
      </c>
      <c r="P12" s="76">
        <f>SUM(K12:O12,K13:O13)</f>
        <v>0</v>
      </c>
    </row>
    <row r="13" spans="2:16" ht="17.25" customHeight="1">
      <c r="B13" s="263"/>
      <c r="C13" s="77">
        <f>'2026년5월전체'!G41</f>
        <v>0</v>
      </c>
      <c r="D13" s="91">
        <f>'2026년5월전체'!AU41</f>
        <v>200000</v>
      </c>
      <c r="E13" s="79">
        <f>'2026년5월전체'!AV42</f>
        <v>0</v>
      </c>
      <c r="F13" s="80">
        <f>'2026년5월전체'!AW42</f>
        <v>0</v>
      </c>
      <c r="G13" s="79">
        <f>'2026년5월전체'!AX42</f>
        <v>0</v>
      </c>
      <c r="H13" s="79">
        <f>'2026년5월전체'!AY42</f>
        <v>0</v>
      </c>
      <c r="I13" s="79">
        <f>'2026년5월전체'!AZ42</f>
        <v>0</v>
      </c>
      <c r="J13" s="81">
        <f>SUM(E12:I12,E13:I13)</f>
        <v>0</v>
      </c>
      <c r="K13" s="80">
        <f>'2026년5월전체'!BB42</f>
        <v>0</v>
      </c>
      <c r="L13" s="80">
        <f>'2026년5월전체'!BC42</f>
        <v>0</v>
      </c>
      <c r="M13" s="80">
        <f>'2026년5월전체'!BD42</f>
        <v>0</v>
      </c>
      <c r="N13" s="80">
        <f>'2026년5월전체'!BE42</f>
        <v>0</v>
      </c>
      <c r="O13" s="80">
        <f>'2026년5월전체'!BF42</f>
        <v>0</v>
      </c>
      <c r="P13" s="81">
        <f>J13-P12</f>
        <v>0</v>
      </c>
    </row>
    <row r="14" spans="2:16" ht="17.25" customHeight="1">
      <c r="B14" s="262">
        <v>5</v>
      </c>
      <c r="C14" s="73" t="str">
        <f>'2026년5월전체'!C44</f>
        <v>장기문</v>
      </c>
      <c r="D14" s="73">
        <f>'2026년5월전체'!AS44</f>
        <v>10</v>
      </c>
      <c r="E14" s="74">
        <f>'2026년5월전체'!AV44</f>
        <v>0</v>
      </c>
      <c r="F14" s="74">
        <f>'2026년5월전체'!AW44</f>
        <v>0</v>
      </c>
      <c r="G14" s="74">
        <f>'2026년5월전체'!AX44</f>
        <v>0</v>
      </c>
      <c r="H14" s="74">
        <f>'2026년5월전체'!AY44</f>
        <v>0</v>
      </c>
      <c r="I14" s="74">
        <f>'2026년5월전체'!AZ44</f>
        <v>0</v>
      </c>
      <c r="J14" s="75"/>
      <c r="K14" s="75">
        <f>'2026년5월전체'!BB44</f>
        <v>0</v>
      </c>
      <c r="L14" s="75">
        <f>'2026년5월전체'!BC44</f>
        <v>0</v>
      </c>
      <c r="M14" s="75">
        <f>'2026년5월전체'!BD44</f>
        <v>0</v>
      </c>
      <c r="N14" s="75">
        <f>'2026년5월전체'!BE44</f>
        <v>0</v>
      </c>
      <c r="O14" s="75">
        <f>'2026년5월전체'!BF44</f>
        <v>0</v>
      </c>
      <c r="P14" s="76">
        <f>SUM(K14:O14,K15:O15)</f>
        <v>0</v>
      </c>
    </row>
    <row r="15" spans="2:16" ht="17.25" customHeight="1">
      <c r="B15" s="263"/>
      <c r="C15" s="77">
        <f>'2026년5월전체'!G44</f>
        <v>0</v>
      </c>
      <c r="D15" s="91">
        <f>'2026년5월전체'!AU44</f>
        <v>200000</v>
      </c>
      <c r="E15" s="79">
        <f>'2026년5월전체'!AV45</f>
        <v>0</v>
      </c>
      <c r="F15" s="80">
        <f>'2026년5월전체'!AW45</f>
        <v>0</v>
      </c>
      <c r="G15" s="79">
        <f>'2026년5월전체'!AX45</f>
        <v>0</v>
      </c>
      <c r="H15" s="79">
        <f>'2026년5월전체'!AY45</f>
        <v>0</v>
      </c>
      <c r="I15" s="79">
        <f>'2026년5월전체'!AZ45</f>
        <v>0</v>
      </c>
      <c r="J15" s="81">
        <f>SUM(E14:I14,E15:I15)</f>
        <v>0</v>
      </c>
      <c r="K15" s="80">
        <f>'2026년5월전체'!BB45</f>
        <v>0</v>
      </c>
      <c r="L15" s="80">
        <f>'2026년5월전체'!BC45</f>
        <v>0</v>
      </c>
      <c r="M15" s="80">
        <f>'2026년5월전체'!BD45</f>
        <v>0</v>
      </c>
      <c r="N15" s="80">
        <f>'2026년5월전체'!BE45</f>
        <v>0</v>
      </c>
      <c r="O15" s="80">
        <f>'2026년5월전체'!BF45</f>
        <v>0</v>
      </c>
      <c r="P15" s="81">
        <f>J15-P14</f>
        <v>0</v>
      </c>
    </row>
    <row r="16" spans="2:16" ht="17.25" customHeight="1">
      <c r="B16" s="262">
        <v>6</v>
      </c>
      <c r="C16" s="73" t="str">
        <f>'2026년5월전체'!C47</f>
        <v>이미옥</v>
      </c>
      <c r="D16" s="73">
        <f>'2026년5월전체'!AS47</f>
        <v>11</v>
      </c>
      <c r="E16" s="74">
        <f>'2026년5월전체'!AV47</f>
        <v>0</v>
      </c>
      <c r="F16" s="74">
        <f>'2026년5월전체'!AW47</f>
        <v>0</v>
      </c>
      <c r="G16" s="74">
        <f>'2026년5월전체'!AX47</f>
        <v>0</v>
      </c>
      <c r="H16" s="74">
        <f>'2026년5월전체'!AY47</f>
        <v>0</v>
      </c>
      <c r="I16" s="74">
        <f>'2026년5월전체'!AZ47</f>
        <v>0</v>
      </c>
      <c r="J16" s="75"/>
      <c r="K16" s="75">
        <f>'2026년5월전체'!BB47</f>
        <v>0</v>
      </c>
      <c r="L16" s="75">
        <f>'2026년5월전체'!BC47</f>
        <v>0</v>
      </c>
      <c r="M16" s="75">
        <f>'2026년5월전체'!BD47</f>
        <v>0</v>
      </c>
      <c r="N16" s="75">
        <f>'2026년5월전체'!BE47</f>
        <v>0</v>
      </c>
      <c r="O16" s="75">
        <f>'2026년5월전체'!BF47</f>
        <v>0</v>
      </c>
      <c r="P16" s="76">
        <f>SUM(K16:O16,K17:O17)</f>
        <v>0</v>
      </c>
    </row>
    <row r="17" spans="2:16" ht="17.25" customHeight="1">
      <c r="B17" s="263"/>
      <c r="C17" s="77">
        <f>'2026년5월전체'!G47</f>
        <v>0</v>
      </c>
      <c r="D17" s="91">
        <f>'2026년5월전체'!AU47</f>
        <v>150000</v>
      </c>
      <c r="E17" s="79">
        <f>'2026년5월전체'!AV48</f>
        <v>0</v>
      </c>
      <c r="F17" s="80">
        <f>'2026년5월전체'!AW48</f>
        <v>0</v>
      </c>
      <c r="G17" s="79">
        <f>'2026년5월전체'!AX48</f>
        <v>0</v>
      </c>
      <c r="H17" s="79">
        <f>'2026년5월전체'!AY48</f>
        <v>0</v>
      </c>
      <c r="I17" s="79">
        <f>'2026년5월전체'!AZ48</f>
        <v>0</v>
      </c>
      <c r="J17" s="81">
        <f>SUM(E16:I16,E17:I17)</f>
        <v>0</v>
      </c>
      <c r="K17" s="80">
        <f>'2026년5월전체'!BB48</f>
        <v>0</v>
      </c>
      <c r="L17" s="80">
        <f>'2026년5월전체'!BC48</f>
        <v>0</v>
      </c>
      <c r="M17" s="80">
        <f>'2026년5월전체'!BD48</f>
        <v>0</v>
      </c>
      <c r="N17" s="80">
        <f>'2026년5월전체'!BE48</f>
        <v>0</v>
      </c>
      <c r="O17" s="80">
        <f>'2026년5월전체'!BF48</f>
        <v>0</v>
      </c>
      <c r="P17" s="81">
        <f>J17-P16</f>
        <v>0</v>
      </c>
    </row>
    <row r="18" spans="2:16" ht="17.25" customHeight="1">
      <c r="B18" s="262">
        <v>7</v>
      </c>
      <c r="C18" s="73" t="str">
        <f>'2026년5월전체'!C50</f>
        <v>원평지</v>
      </c>
      <c r="D18" s="73">
        <f>'2026년5월전체'!AS50</f>
        <v>10</v>
      </c>
      <c r="E18" s="74">
        <f>'2026년5월전체'!AV50</f>
        <v>0</v>
      </c>
      <c r="F18" s="74">
        <f>'2026년5월전체'!AW50</f>
        <v>0</v>
      </c>
      <c r="G18" s="74">
        <f>'2026년5월전체'!AX50</f>
        <v>0</v>
      </c>
      <c r="H18" s="74">
        <f>'2026년5월전체'!AY50</f>
        <v>0</v>
      </c>
      <c r="I18" s="74">
        <f>'2026년5월전체'!AZ50</f>
        <v>0</v>
      </c>
      <c r="J18" s="75"/>
      <c r="K18" s="75">
        <f>'2026년5월전체'!BB50</f>
        <v>0</v>
      </c>
      <c r="L18" s="75">
        <f>'2026년5월전체'!BC50</f>
        <v>0</v>
      </c>
      <c r="M18" s="75">
        <f>'2026년5월전체'!BD50</f>
        <v>0</v>
      </c>
      <c r="N18" s="75">
        <f>'2026년5월전체'!BE50</f>
        <v>0</v>
      </c>
      <c r="O18" s="75">
        <f>'2026년5월전체'!BF50</f>
        <v>0</v>
      </c>
      <c r="P18" s="76">
        <f>SUM(K18:O18,K19:O19)</f>
        <v>0</v>
      </c>
    </row>
    <row r="19" spans="2:16" ht="17.25" customHeight="1">
      <c r="B19" s="263"/>
      <c r="C19" s="77">
        <f>'2026년5월전체'!G50</f>
        <v>0</v>
      </c>
      <c r="D19" s="91">
        <f>'2026년5월전체'!AU50</f>
        <v>150000</v>
      </c>
      <c r="E19" s="79">
        <f>'2026년5월전체'!AV51</f>
        <v>0</v>
      </c>
      <c r="F19" s="80">
        <f>'2026년5월전체'!AW51</f>
        <v>0</v>
      </c>
      <c r="G19" s="79">
        <f>'2026년5월전체'!AX51</f>
        <v>0</v>
      </c>
      <c r="H19" s="79">
        <f>'2026년5월전체'!AY51</f>
        <v>0</v>
      </c>
      <c r="I19" s="79">
        <f>'2026년5월전체'!AZ51</f>
        <v>0</v>
      </c>
      <c r="J19" s="81">
        <f>SUM(E18:I18,E19:I19)</f>
        <v>0</v>
      </c>
      <c r="K19" s="80">
        <f>'2026년5월전체'!BB51</f>
        <v>0</v>
      </c>
      <c r="L19" s="80">
        <f>'2026년5월전체'!BC51</f>
        <v>0</v>
      </c>
      <c r="M19" s="80">
        <f>'2026년5월전체'!BD51</f>
        <v>0</v>
      </c>
      <c r="N19" s="80">
        <f>'2026년5월전체'!BE51</f>
        <v>0</v>
      </c>
      <c r="O19" s="80">
        <f>'2026년5월전체'!BF51</f>
        <v>0</v>
      </c>
      <c r="P19" s="81">
        <f>J19-P18</f>
        <v>0</v>
      </c>
    </row>
    <row r="20" spans="2:16" ht="17.25" customHeight="1">
      <c r="B20" s="262">
        <v>8</v>
      </c>
      <c r="C20" s="73" t="str">
        <f>'2026년5월전체'!C53</f>
        <v>김성산</v>
      </c>
      <c r="D20" s="73">
        <f>'2026년5월전체'!AS53</f>
        <v>8</v>
      </c>
      <c r="E20" s="74">
        <f>'2026년5월전체'!AV53</f>
        <v>0</v>
      </c>
      <c r="F20" s="74">
        <f>'2026년5월전체'!AW53</f>
        <v>0</v>
      </c>
      <c r="G20" s="74">
        <f>'2026년5월전체'!AX53</f>
        <v>0</v>
      </c>
      <c r="H20" s="74">
        <f>'2026년5월전체'!AY53</f>
        <v>0</v>
      </c>
      <c r="I20" s="74">
        <f>'2026년5월전체'!AZ53</f>
        <v>0</v>
      </c>
      <c r="J20" s="75"/>
      <c r="K20" s="75">
        <f>'2026년5월전체'!BB53</f>
        <v>0</v>
      </c>
      <c r="L20" s="75">
        <f>'2026년5월전체'!BC53</f>
        <v>0</v>
      </c>
      <c r="M20" s="75">
        <f>'2026년5월전체'!BD53</f>
        <v>0</v>
      </c>
      <c r="N20" s="75">
        <f>'2026년5월전체'!BE53</f>
        <v>0</v>
      </c>
      <c r="O20" s="75">
        <f>'2026년5월전체'!BF53</f>
        <v>0</v>
      </c>
      <c r="P20" s="76">
        <f>SUM(K20:O20,K21:O21)</f>
        <v>0</v>
      </c>
    </row>
    <row r="21" spans="2:16" ht="17.25" customHeight="1">
      <c r="B21" s="263"/>
      <c r="C21" s="77">
        <f>'2026년5월전체'!G53</f>
        <v>0</v>
      </c>
      <c r="D21" s="79">
        <f>'2026년5월전체'!AU53</f>
        <v>150000</v>
      </c>
      <c r="E21" s="79">
        <f>'2026년5월전체'!AV54</f>
        <v>0</v>
      </c>
      <c r="F21" s="80">
        <f>'2026년5월전체'!AW54</f>
        <v>0</v>
      </c>
      <c r="G21" s="79">
        <f>'2026년5월전체'!AX54</f>
        <v>0</v>
      </c>
      <c r="H21" s="79">
        <f>'2026년5월전체'!AY54</f>
        <v>0</v>
      </c>
      <c r="I21" s="79">
        <f>'2026년5월전체'!AZ54</f>
        <v>0</v>
      </c>
      <c r="J21" s="81">
        <f>SUM(E20:I20,E21:I21)</f>
        <v>0</v>
      </c>
      <c r="K21" s="80">
        <f>'2026년5월전체'!BB54</f>
        <v>0</v>
      </c>
      <c r="L21" s="80">
        <f>'2026년5월전체'!BC54</f>
        <v>0</v>
      </c>
      <c r="M21" s="80">
        <f>'2026년5월전체'!BD54</f>
        <v>0</v>
      </c>
      <c r="N21" s="80">
        <f>'2026년5월전체'!BE54</f>
        <v>0</v>
      </c>
      <c r="O21" s="80">
        <f>'2026년5월전체'!BF54</f>
        <v>0</v>
      </c>
      <c r="P21" s="81">
        <f>J21-P20</f>
        <v>0</v>
      </c>
    </row>
    <row r="22" spans="2:16" ht="17.25" customHeight="1">
      <c r="B22" s="262">
        <v>9</v>
      </c>
      <c r="C22" s="73" t="str">
        <f>'2026년5월전체'!C56</f>
        <v>서승길</v>
      </c>
      <c r="D22" s="73">
        <f>'2026년5월전체'!AS56</f>
        <v>3</v>
      </c>
      <c r="E22" s="74">
        <f>'2026년5월전체'!AV56</f>
        <v>0</v>
      </c>
      <c r="F22" s="74">
        <f>'2026년5월전체'!AW56</f>
        <v>0</v>
      </c>
      <c r="G22" s="74">
        <f>'2026년5월전체'!AX56</f>
        <v>0</v>
      </c>
      <c r="H22" s="74">
        <f>'2026년5월전체'!AY56</f>
        <v>0</v>
      </c>
      <c r="I22" s="74">
        <f>'2026년5월전체'!AZ56</f>
        <v>0</v>
      </c>
      <c r="J22" s="75"/>
      <c r="K22" s="75">
        <f>'2026년5월전체'!BB56</f>
        <v>0</v>
      </c>
      <c r="L22" s="75">
        <f>'2026년5월전체'!BC56</f>
        <v>0</v>
      </c>
      <c r="M22" s="75">
        <f>'2026년5월전체'!BD56</f>
        <v>0</v>
      </c>
      <c r="N22" s="75">
        <f>'2026년5월전체'!BE56</f>
        <v>0</v>
      </c>
      <c r="O22" s="75">
        <f>'2026년5월전체'!BF56</f>
        <v>0</v>
      </c>
      <c r="P22" s="76">
        <f>SUM(K22:O22,K23:O23)</f>
        <v>0</v>
      </c>
    </row>
    <row r="23" spans="2:16" ht="17.25" customHeight="1">
      <c r="B23" s="263"/>
      <c r="C23" s="77">
        <f>'2026년5월전체'!G56</f>
        <v>0</v>
      </c>
      <c r="D23" s="91">
        <f>'2026년5월전체'!AU56</f>
        <v>150000</v>
      </c>
      <c r="E23" s="79">
        <f>'2026년5월전체'!AV57</f>
        <v>0</v>
      </c>
      <c r="F23" s="80">
        <f>'2026년5월전체'!AW57</f>
        <v>0</v>
      </c>
      <c r="G23" s="79">
        <f>'2026년5월전체'!AX57</f>
        <v>0</v>
      </c>
      <c r="H23" s="79">
        <f>'2026년5월전체'!AY57</f>
        <v>0</v>
      </c>
      <c r="I23" s="79">
        <f>'2026년5월전체'!AZ57</f>
        <v>0</v>
      </c>
      <c r="J23" s="81">
        <f>SUM(E22:I22,E23:I23)</f>
        <v>0</v>
      </c>
      <c r="K23" s="80">
        <f>'2026년5월전체'!BB57</f>
        <v>0</v>
      </c>
      <c r="L23" s="80">
        <f>'2026년5월전체'!BC57</f>
        <v>0</v>
      </c>
      <c r="M23" s="80">
        <f>'2026년5월전체'!BD57</f>
        <v>0</v>
      </c>
      <c r="N23" s="80">
        <f>'2026년5월전체'!BE57</f>
        <v>0</v>
      </c>
      <c r="O23" s="80">
        <f>'2026년5월전체'!BF57</f>
        <v>0</v>
      </c>
      <c r="P23" s="81">
        <f>J23-P22</f>
        <v>0</v>
      </c>
    </row>
    <row r="24" spans="2:16" ht="17.25" customHeight="1">
      <c r="B24" s="262">
        <v>10</v>
      </c>
      <c r="C24" s="73" t="str">
        <f>'2026년5월전체'!C59</f>
        <v>오제국</v>
      </c>
      <c r="D24" s="73">
        <f>'2026년5월전체'!AS59</f>
        <v>10</v>
      </c>
      <c r="E24" s="74">
        <f>'2026년5월전체'!AV59</f>
        <v>0</v>
      </c>
      <c r="F24" s="74">
        <f>'2026년5월전체'!AW59</f>
        <v>0</v>
      </c>
      <c r="G24" s="74">
        <f>'2026년5월전체'!AX59</f>
        <v>0</v>
      </c>
      <c r="H24" s="74">
        <f>'2026년5월전체'!AY59</f>
        <v>0</v>
      </c>
      <c r="I24" s="74">
        <f>'2026년5월전체'!AZ59</f>
        <v>0</v>
      </c>
      <c r="J24" s="75"/>
      <c r="K24" s="75">
        <f>'2026년5월전체'!BB59</f>
        <v>0</v>
      </c>
      <c r="L24" s="75">
        <f>'2026년5월전체'!BC59</f>
        <v>0</v>
      </c>
      <c r="M24" s="75">
        <f>'2026년5월전체'!BD59</f>
        <v>0</v>
      </c>
      <c r="N24" s="75">
        <f>'2026년5월전체'!BE59</f>
        <v>0</v>
      </c>
      <c r="O24" s="75">
        <f>'2026년5월전체'!BF59</f>
        <v>0</v>
      </c>
      <c r="P24" s="76">
        <f>SUM(K24:O24,K25:O25)</f>
        <v>0</v>
      </c>
    </row>
    <row r="25" spans="2:16" ht="17.25" customHeight="1">
      <c r="B25" s="263"/>
      <c r="C25" s="77">
        <f>'2026년5월전체'!G59</f>
        <v>46146</v>
      </c>
      <c r="D25" s="91">
        <f>'2026년5월전체'!AU59</f>
        <v>180000</v>
      </c>
      <c r="E25" s="79">
        <f>'2026년5월전체'!AV60</f>
        <v>0</v>
      </c>
      <c r="F25" s="80">
        <f>'2026년5월전체'!AW60</f>
        <v>0</v>
      </c>
      <c r="G25" s="79">
        <f>'2026년5월전체'!AX60</f>
        <v>0</v>
      </c>
      <c r="H25" s="79">
        <f>'2026년5월전체'!AY60</f>
        <v>0</v>
      </c>
      <c r="I25" s="79">
        <f>'2026년5월전체'!AZ60</f>
        <v>0</v>
      </c>
      <c r="J25" s="81">
        <f>SUM(E24:I24,E25:I25)</f>
        <v>0</v>
      </c>
      <c r="K25" s="80">
        <f>'2026년5월전체'!BB60</f>
        <v>0</v>
      </c>
      <c r="L25" s="80">
        <f>'2026년5월전체'!BC60</f>
        <v>0</v>
      </c>
      <c r="M25" s="80">
        <f>'2026년5월전체'!BD60</f>
        <v>0</v>
      </c>
      <c r="N25" s="80">
        <f>'2026년5월전체'!BE60</f>
        <v>0</v>
      </c>
      <c r="O25" s="80">
        <f>'2026년5월전체'!BF60</f>
        <v>0</v>
      </c>
      <c r="P25" s="81">
        <f>J25-P24</f>
        <v>0</v>
      </c>
    </row>
    <row r="26" spans="2:16" ht="17.25" customHeight="1">
      <c r="B26" s="262">
        <v>11</v>
      </c>
      <c r="C26" s="73" t="str">
        <f>'2026년5월전체'!C62</f>
        <v>이미선</v>
      </c>
      <c r="D26" s="73">
        <f>'2026년5월전체'!AS62</f>
        <v>0</v>
      </c>
      <c r="E26" s="74">
        <f>'2026년5월전체'!AV62</f>
        <v>0</v>
      </c>
      <c r="F26" s="74">
        <f>'2026년5월전체'!AW62</f>
        <v>0</v>
      </c>
      <c r="G26" s="74">
        <f>'2026년5월전체'!AX62</f>
        <v>0</v>
      </c>
      <c r="H26" s="74">
        <f>'2026년5월전체'!AY62</f>
        <v>0</v>
      </c>
      <c r="I26" s="74">
        <f>'2026년5월전체'!AZ62</f>
        <v>0</v>
      </c>
      <c r="J26" s="75"/>
      <c r="K26" s="75">
        <f>'2026년5월전체'!BB62</f>
        <v>0</v>
      </c>
      <c r="L26" s="75">
        <f>'2026년5월전체'!BC62</f>
        <v>0</v>
      </c>
      <c r="M26" s="75">
        <f>'2026년5월전체'!BD62</f>
        <v>0</v>
      </c>
      <c r="N26" s="75">
        <f>'2026년5월전체'!BE62</f>
        <v>0</v>
      </c>
      <c r="O26" s="75">
        <f>'2026년5월전체'!BF62</f>
        <v>0</v>
      </c>
      <c r="P26" s="76">
        <f>SUM(K26:O26,K27:O27)</f>
        <v>0</v>
      </c>
    </row>
    <row r="27" spans="2:16" ht="17.25" customHeight="1">
      <c r="B27" s="263"/>
      <c r="C27" s="77">
        <f>'2026년5월전체'!G62</f>
        <v>0</v>
      </c>
      <c r="D27" s="91">
        <f>'2026년5월전체'!AU62</f>
        <v>200000</v>
      </c>
      <c r="E27" s="79">
        <f>'2026년5월전체'!AV63</f>
        <v>0</v>
      </c>
      <c r="F27" s="80">
        <f>'2026년5월전체'!AW63</f>
        <v>0</v>
      </c>
      <c r="G27" s="79">
        <f>'2026년5월전체'!AX63</f>
        <v>0</v>
      </c>
      <c r="H27" s="79">
        <f>'2026년5월전체'!AY63</f>
        <v>0</v>
      </c>
      <c r="I27" s="79">
        <f>'2026년5월전체'!AZ63</f>
        <v>0</v>
      </c>
      <c r="J27" s="81">
        <f>SUM(E26:I26,E27:I27)</f>
        <v>0</v>
      </c>
      <c r="K27" s="80">
        <f>'2026년5월전체'!BB63</f>
        <v>0</v>
      </c>
      <c r="L27" s="80">
        <f>'2026년5월전체'!BC63</f>
        <v>0</v>
      </c>
      <c r="M27" s="80">
        <f>'2026년5월전체'!BD63</f>
        <v>0</v>
      </c>
      <c r="N27" s="80">
        <f>'2026년5월전체'!BE63</f>
        <v>0</v>
      </c>
      <c r="O27" s="80">
        <f>'2026년5월전체'!BF63</f>
        <v>0</v>
      </c>
      <c r="P27" s="81">
        <f>J27-P26</f>
        <v>0</v>
      </c>
    </row>
    <row r="28" spans="2:16" ht="17.25" customHeight="1">
      <c r="B28" s="262">
        <v>12</v>
      </c>
      <c r="C28" s="73" t="str">
        <f>'2026년5월전체'!C65</f>
        <v>호반동</v>
      </c>
      <c r="D28" s="73">
        <f>'2026년5월전체'!AS65</f>
        <v>0</v>
      </c>
      <c r="E28" s="74">
        <f>'2026년5월전체'!AV65</f>
        <v>0</v>
      </c>
      <c r="F28" s="74">
        <f>'2026년5월전체'!AW65</f>
        <v>0</v>
      </c>
      <c r="G28" s="74">
        <f>'2026년5월전체'!AX65</f>
        <v>0</v>
      </c>
      <c r="H28" s="74">
        <f>'2026년5월전체'!AY65</f>
        <v>0</v>
      </c>
      <c r="I28" s="74">
        <f>'2026년5월전체'!AZ65</f>
        <v>0</v>
      </c>
      <c r="J28" s="75"/>
      <c r="K28" s="75">
        <f>'2026년5월전체'!BB65</f>
        <v>0</v>
      </c>
      <c r="L28" s="75">
        <f>'2026년5월전체'!BC65</f>
        <v>0</v>
      </c>
      <c r="M28" s="75">
        <f>'2026년5월전체'!BD65</f>
        <v>0</v>
      </c>
      <c r="N28" s="75">
        <f>'2026년5월전체'!BE65</f>
        <v>0</v>
      </c>
      <c r="O28" s="75">
        <f>'2026년5월전체'!BF65</f>
        <v>0</v>
      </c>
      <c r="P28" s="76">
        <f>SUM(K28:O28,K29:O29)</f>
        <v>0</v>
      </c>
    </row>
    <row r="29" spans="2:16" ht="17.25" customHeight="1">
      <c r="B29" s="263"/>
      <c r="C29" s="77">
        <f>'2026년5월전체'!G65</f>
        <v>0</v>
      </c>
      <c r="D29" s="91">
        <f>'2026년5월전체'!AU65</f>
        <v>130000</v>
      </c>
      <c r="E29" s="79">
        <f>'2026년5월전체'!AV66</f>
        <v>0</v>
      </c>
      <c r="F29" s="80">
        <f>'2026년5월전체'!AW66</f>
        <v>0</v>
      </c>
      <c r="G29" s="79">
        <f>'2026년5월전체'!AX66</f>
        <v>0</v>
      </c>
      <c r="H29" s="79">
        <f>'2026년5월전체'!AY66</f>
        <v>0</v>
      </c>
      <c r="I29" s="79">
        <f>'2026년5월전체'!AZ66</f>
        <v>0</v>
      </c>
      <c r="J29" s="81">
        <f>SUM(E28:I28,E29:I29)</f>
        <v>0</v>
      </c>
      <c r="K29" s="80">
        <f>'2026년5월전체'!BB66</f>
        <v>0</v>
      </c>
      <c r="L29" s="80">
        <f>'2026년5월전체'!BC66</f>
        <v>0</v>
      </c>
      <c r="M29" s="80">
        <f>'2026년5월전체'!BD66</f>
        <v>0</v>
      </c>
      <c r="N29" s="80">
        <f>'2026년5월전체'!BE66</f>
        <v>0</v>
      </c>
      <c r="O29" s="80">
        <f>'2026년5월전체'!BF66</f>
        <v>0</v>
      </c>
      <c r="P29" s="81">
        <f>J29-P28</f>
        <v>0</v>
      </c>
    </row>
    <row r="30" spans="2:16" ht="17.25" customHeight="1">
      <c r="B30" s="258" t="s">
        <v>158</v>
      </c>
      <c r="C30" s="259"/>
      <c r="D30" s="82"/>
      <c r="E30" s="83">
        <f t="shared" ref="E30:N30" si="0">E6+E8+E10+E12+E14+E16+E18+E20+E22+E24+E26+E28</f>
        <v>0</v>
      </c>
      <c r="F30" s="83">
        <f t="shared" si="0"/>
        <v>0</v>
      </c>
      <c r="G30" s="83">
        <f t="shared" si="0"/>
        <v>0</v>
      </c>
      <c r="H30" s="83">
        <f t="shared" si="0"/>
        <v>0</v>
      </c>
      <c r="I30" s="83">
        <f t="shared" si="0"/>
        <v>0</v>
      </c>
      <c r="J30" s="83">
        <f t="shared" si="0"/>
        <v>0</v>
      </c>
      <c r="K30" s="83">
        <f t="shared" si="0"/>
        <v>0</v>
      </c>
      <c r="L30" s="83">
        <f t="shared" si="0"/>
        <v>0</v>
      </c>
      <c r="M30" s="83">
        <f t="shared" si="0"/>
        <v>0</v>
      </c>
      <c r="N30" s="83">
        <f t="shared" si="0"/>
        <v>0</v>
      </c>
      <c r="O30" s="84"/>
      <c r="P30" s="76">
        <f>SUM(K30:O30,K31:O31)</f>
        <v>0</v>
      </c>
    </row>
    <row r="31" spans="2:16" ht="16.5" customHeight="1">
      <c r="B31" s="260"/>
      <c r="C31" s="261"/>
      <c r="D31" s="85"/>
      <c r="E31" s="83">
        <f t="shared" ref="E31:N31" si="1">E7+E9+E11+E13+E15+E17+E19+E21+E23+E25+E27+E29</f>
        <v>0</v>
      </c>
      <c r="F31" s="83">
        <f t="shared" si="1"/>
        <v>0</v>
      </c>
      <c r="G31" s="83">
        <f t="shared" si="1"/>
        <v>0</v>
      </c>
      <c r="H31" s="83">
        <f t="shared" si="1"/>
        <v>0</v>
      </c>
      <c r="I31" s="83">
        <f t="shared" si="1"/>
        <v>0</v>
      </c>
      <c r="J31" s="86">
        <f t="shared" si="1"/>
        <v>0</v>
      </c>
      <c r="K31" s="83">
        <f t="shared" si="1"/>
        <v>0</v>
      </c>
      <c r="L31" s="83">
        <f t="shared" si="1"/>
        <v>0</v>
      </c>
      <c r="M31" s="83">
        <f t="shared" si="1"/>
        <v>0</v>
      </c>
      <c r="N31" s="83">
        <f t="shared" si="1"/>
        <v>0</v>
      </c>
      <c r="O31" s="83"/>
      <c r="P31" s="86">
        <f>J31-P30</f>
        <v>0</v>
      </c>
    </row>
  </sheetData>
  <mergeCells count="21">
    <mergeCell ref="B30:C31"/>
    <mergeCell ref="B10:B11"/>
    <mergeCell ref="B28:B29"/>
    <mergeCell ref="B6:B7"/>
    <mergeCell ref="B24:B25"/>
    <mergeCell ref="B20:B21"/>
    <mergeCell ref="B22:B23"/>
    <mergeCell ref="B16:B17"/>
    <mergeCell ref="B26:B27"/>
    <mergeCell ref="B18:B19"/>
    <mergeCell ref="B1:P1"/>
    <mergeCell ref="B14:B15"/>
    <mergeCell ref="B2:C2"/>
    <mergeCell ref="D2:H2"/>
    <mergeCell ref="B3:B5"/>
    <mergeCell ref="K3:P3"/>
    <mergeCell ref="E3:J3"/>
    <mergeCell ref="L2:M2"/>
    <mergeCell ref="N2:P2"/>
    <mergeCell ref="B12:B13"/>
    <mergeCell ref="B8:B9"/>
  </mergeCells>
  <phoneticPr fontId="25" type="noConversion"/>
  <printOptions horizontalCentered="1"/>
  <pageMargins left="0.51180555555555596" right="0.51180555555555596" top="0.74791666666666701" bottom="0.35416666666666702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1"/>
  <sheetViews>
    <sheetView zoomScaleNormal="100" workbookViewId="0">
      <selection activeCell="F31" sqref="F31"/>
    </sheetView>
  </sheetViews>
  <sheetFormatPr defaultColWidth="9" defaultRowHeight="16.5" customHeight="1"/>
  <cols>
    <col min="2" max="2" width="16" customWidth="1"/>
    <col min="3" max="4" width="11.75" customWidth="1"/>
    <col min="5" max="5" width="9" style="66"/>
  </cols>
  <sheetData>
    <row r="2" spans="2:5" ht="16.5" customHeight="1">
      <c r="B2" s="88" t="s">
        <v>187</v>
      </c>
      <c r="C2" s="88"/>
      <c r="D2" s="88"/>
    </row>
    <row r="3" spans="2:5" ht="16.5" customHeight="1">
      <c r="B3" s="89" t="s">
        <v>188</v>
      </c>
      <c r="C3" s="89" t="s">
        <v>52</v>
      </c>
      <c r="D3" s="89" t="s">
        <v>82</v>
      </c>
    </row>
    <row r="4" spans="2:5" ht="16.5" customHeight="1">
      <c r="B4" s="90" t="s">
        <v>216</v>
      </c>
      <c r="C4" s="89">
        <v>1.5</v>
      </c>
      <c r="D4" s="89">
        <v>1.5</v>
      </c>
    </row>
    <row r="5" spans="2:5" ht="16.5" customHeight="1">
      <c r="B5" s="90" t="s">
        <v>217</v>
      </c>
      <c r="C5" s="89">
        <v>1.5</v>
      </c>
      <c r="D5" s="89">
        <v>1.5</v>
      </c>
    </row>
    <row r="6" spans="2:5" ht="16.5" customHeight="1">
      <c r="B6" s="89" t="s">
        <v>35</v>
      </c>
      <c r="C6" s="90">
        <v>2</v>
      </c>
      <c r="D6" s="90">
        <v>2</v>
      </c>
    </row>
    <row r="7" spans="2:5" ht="16.5" customHeight="1">
      <c r="B7" s="89" t="s">
        <v>157</v>
      </c>
      <c r="C7" s="90">
        <v>0.5</v>
      </c>
      <c r="D7" s="90">
        <v>0.5</v>
      </c>
    </row>
    <row r="8" spans="2:5" ht="16.5" customHeight="1">
      <c r="B8" s="89" t="s">
        <v>218</v>
      </c>
      <c r="C8" s="90"/>
      <c r="D8" s="90"/>
    </row>
    <row r="10" spans="2:5" ht="16.5" customHeight="1">
      <c r="B10" s="88" t="s">
        <v>189</v>
      </c>
    </row>
    <row r="11" spans="2:5" ht="16.5" customHeight="1">
      <c r="B11" s="89" t="s">
        <v>17</v>
      </c>
      <c r="C11" s="272" t="s">
        <v>190</v>
      </c>
      <c r="D11" s="273"/>
      <c r="E11" s="89" t="s">
        <v>191</v>
      </c>
    </row>
    <row r="12" spans="2:5" ht="16.5" customHeight="1">
      <c r="B12" s="89" t="s">
        <v>156</v>
      </c>
      <c r="C12" s="102">
        <v>0.20833333333333334</v>
      </c>
      <c r="D12" s="102">
        <v>0.33333333333333331</v>
      </c>
      <c r="E12" s="89">
        <v>0.5</v>
      </c>
    </row>
    <row r="13" spans="2:5" ht="16.5" customHeight="1">
      <c r="B13" s="89" t="s">
        <v>156</v>
      </c>
      <c r="C13" s="102">
        <v>0.33333333333333331</v>
      </c>
      <c r="D13" s="102">
        <v>0.70833333333333337</v>
      </c>
      <c r="E13" s="89">
        <v>1</v>
      </c>
    </row>
    <row r="14" spans="2:5" ht="16.5" customHeight="1">
      <c r="B14" s="89" t="s">
        <v>156</v>
      </c>
      <c r="C14" s="102">
        <v>0.70833333333333337</v>
      </c>
      <c r="D14" s="102">
        <v>0.8125</v>
      </c>
      <c r="E14" s="89">
        <v>0.5</v>
      </c>
    </row>
    <row r="15" spans="2:5" ht="16.5" customHeight="1">
      <c r="B15" s="89" t="s">
        <v>192</v>
      </c>
      <c r="C15" s="102">
        <v>0.20833333333333334</v>
      </c>
      <c r="D15" s="102">
        <v>0.33333333333333331</v>
      </c>
      <c r="E15" s="89">
        <v>0.5</v>
      </c>
    </row>
    <row r="16" spans="2:5" ht="16.5" customHeight="1">
      <c r="B16" s="89" t="s">
        <v>192</v>
      </c>
      <c r="C16" s="102">
        <v>0.33333333333333331</v>
      </c>
      <c r="D16" s="102">
        <v>0.66666666666666663</v>
      </c>
      <c r="E16" s="89">
        <v>1</v>
      </c>
    </row>
    <row r="17" spans="2:5" ht="16.5" customHeight="1">
      <c r="B17" s="89" t="s">
        <v>192</v>
      </c>
      <c r="C17" s="102">
        <v>0.66666666666666663</v>
      </c>
      <c r="D17" s="102">
        <v>0.75</v>
      </c>
      <c r="E17" s="89">
        <v>0.5</v>
      </c>
    </row>
    <row r="18" spans="2:5" ht="16.5" customHeight="1">
      <c r="B18" s="89" t="s">
        <v>193</v>
      </c>
      <c r="C18" s="102">
        <v>0.20833333333333334</v>
      </c>
      <c r="D18" s="102">
        <v>0.33333333333333331</v>
      </c>
      <c r="E18" s="89">
        <v>0.5</v>
      </c>
    </row>
    <row r="19" spans="2:5" ht="16.5" customHeight="1">
      <c r="B19" s="89" t="s">
        <v>193</v>
      </c>
      <c r="C19" s="102">
        <v>0.33333333333333331</v>
      </c>
      <c r="D19" s="102">
        <v>0.64583333333333337</v>
      </c>
      <c r="E19" s="89">
        <v>1</v>
      </c>
    </row>
    <row r="20" spans="2:5" ht="16.5" customHeight="1">
      <c r="B20" s="89" t="s">
        <v>193</v>
      </c>
      <c r="C20" s="102">
        <v>0.64583333333333337</v>
      </c>
      <c r="D20" s="102">
        <v>0.72916666666666663</v>
      </c>
      <c r="E20" s="89">
        <v>0.5</v>
      </c>
    </row>
    <row r="21" spans="2:5" s="66" customFormat="1" ht="16.5" customHeight="1">
      <c r="B21" s="90" t="s">
        <v>218</v>
      </c>
      <c r="C21" s="102">
        <v>0.5</v>
      </c>
      <c r="D21" s="102">
        <v>0.54166666666666663</v>
      </c>
      <c r="E21" s="90">
        <v>0</v>
      </c>
    </row>
  </sheetData>
  <mergeCells count="1">
    <mergeCell ref="C11:D11"/>
  </mergeCells>
  <phoneticPr fontId="2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W23"/>
  <sheetViews>
    <sheetView zoomScaleNormal="100" workbookViewId="0">
      <selection activeCell="O28" sqref="O28"/>
    </sheetView>
  </sheetViews>
  <sheetFormatPr defaultColWidth="9" defaultRowHeight="16.5" customHeight="1"/>
  <cols>
    <col min="1" max="1" width="2.5" style="63" customWidth="1"/>
    <col min="2" max="23" width="3.625" style="63" customWidth="1"/>
    <col min="24" max="24" width="2.5" style="63" customWidth="1"/>
    <col min="25" max="257" width="9" style="63" customWidth="1"/>
  </cols>
  <sheetData>
    <row r="2" spans="2:23" ht="26.25" customHeight="1">
      <c r="B2" s="293" t="str">
        <f>TEXT(EDATE(DATE('2026년5월전체'!S1,'2026년5월전체'!V1,1),1),"yyyy년 m월")&amp;" 급여명세서"</f>
        <v>2026년 6월 급여명세서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</row>
    <row r="4" spans="2:23" ht="16.5" customHeight="1">
      <c r="B4" s="274" t="s">
        <v>194</v>
      </c>
      <c r="C4" s="275"/>
      <c r="D4" s="275"/>
      <c r="E4" s="279" t="str">
        <f>'2026년5월전체'!B26</f>
        <v>CM009</v>
      </c>
      <c r="F4" s="275"/>
      <c r="G4" s="275"/>
      <c r="H4" s="275"/>
      <c r="I4" s="274" t="s">
        <v>195</v>
      </c>
      <c r="J4" s="275"/>
      <c r="K4" s="275"/>
      <c r="L4" s="279" t="str">
        <f>'2026년5월전체'!C26</f>
        <v>따이</v>
      </c>
      <c r="M4" s="275"/>
      <c r="N4" s="275"/>
      <c r="O4" s="275"/>
      <c r="P4" s="274" t="s">
        <v>196</v>
      </c>
      <c r="Q4" s="275"/>
      <c r="R4" s="275"/>
      <c r="S4" s="294">
        <f>'2026년5월전체'!G26</f>
        <v>0</v>
      </c>
      <c r="T4" s="275"/>
      <c r="U4" s="275"/>
      <c r="V4" s="275"/>
      <c r="W4" s="275"/>
    </row>
    <row r="5" spans="2:23" ht="16.5" customHeight="1">
      <c r="B5" s="269" t="s">
        <v>197</v>
      </c>
      <c r="C5" s="195"/>
      <c r="D5" s="195"/>
      <c r="E5" s="278" t="str">
        <f>"생산부"</f>
        <v>생산부</v>
      </c>
      <c r="F5" s="195"/>
      <c r="G5" s="195"/>
      <c r="H5" s="195"/>
      <c r="I5" s="269" t="s">
        <v>198</v>
      </c>
      <c r="J5" s="195"/>
      <c r="K5" s="195"/>
      <c r="L5" s="278" t="str">
        <f>"사원"</f>
        <v>사원</v>
      </c>
      <c r="M5" s="195"/>
      <c r="N5" s="195"/>
      <c r="O5" s="195"/>
      <c r="P5" s="269" t="s">
        <v>199</v>
      </c>
      <c r="Q5" s="195"/>
      <c r="R5" s="195"/>
      <c r="S5" s="278"/>
      <c r="T5" s="195"/>
      <c r="U5" s="195"/>
      <c r="V5" s="195"/>
      <c r="W5" s="195"/>
    </row>
    <row r="6" spans="2:23" ht="16.5" customHeight="1">
      <c r="B6" s="281" t="s">
        <v>2</v>
      </c>
      <c r="C6" s="215"/>
      <c r="D6" s="215"/>
      <c r="E6" s="215"/>
      <c r="F6" s="215"/>
      <c r="G6" s="215"/>
      <c r="H6" s="215"/>
      <c r="I6" s="215"/>
      <c r="J6" s="215"/>
      <c r="K6" s="215"/>
      <c r="L6" s="216"/>
      <c r="M6" s="281" t="s">
        <v>200</v>
      </c>
      <c r="N6" s="215"/>
      <c r="O6" s="215"/>
      <c r="P6" s="215"/>
      <c r="Q6" s="215"/>
      <c r="R6" s="215"/>
      <c r="S6" s="215"/>
      <c r="T6" s="215"/>
      <c r="U6" s="215"/>
      <c r="V6" s="215"/>
      <c r="W6" s="216"/>
    </row>
    <row r="7" spans="2:23" ht="16.5" customHeight="1">
      <c r="B7" s="281" t="s">
        <v>201</v>
      </c>
      <c r="C7" s="215"/>
      <c r="D7" s="215"/>
      <c r="E7" s="215"/>
      <c r="F7" s="215"/>
      <c r="G7" s="216"/>
      <c r="H7" s="286" t="s">
        <v>202</v>
      </c>
      <c r="I7" s="215"/>
      <c r="J7" s="215"/>
      <c r="K7" s="215"/>
      <c r="L7" s="216"/>
      <c r="M7" s="281" t="s">
        <v>201</v>
      </c>
      <c r="N7" s="215"/>
      <c r="O7" s="215"/>
      <c r="P7" s="215"/>
      <c r="Q7" s="216"/>
      <c r="R7" s="281" t="s">
        <v>202</v>
      </c>
      <c r="S7" s="215"/>
      <c r="T7" s="215"/>
      <c r="U7" s="215"/>
      <c r="V7" s="215"/>
      <c r="W7" s="216"/>
    </row>
    <row r="8" spans="2:23" ht="16.5" customHeight="1">
      <c r="B8" s="282" t="s">
        <v>21</v>
      </c>
      <c r="C8" s="283"/>
      <c r="D8" s="283"/>
      <c r="E8" s="283"/>
      <c r="F8" s="283"/>
      <c r="G8" s="259"/>
      <c r="H8" s="287">
        <f>'2026년5월전체'!AV26</f>
        <v>1956880</v>
      </c>
      <c r="I8" s="283"/>
      <c r="J8" s="283"/>
      <c r="K8" s="283"/>
      <c r="L8" s="259"/>
      <c r="M8" s="282" t="s">
        <v>27</v>
      </c>
      <c r="N8" s="283"/>
      <c r="O8" s="283"/>
      <c r="P8" s="283"/>
      <c r="Q8" s="259"/>
      <c r="R8" s="287">
        <f>'2026년5월전체'!BB26</f>
        <v>0</v>
      </c>
      <c r="S8" s="283"/>
      <c r="T8" s="283"/>
      <c r="U8" s="283"/>
      <c r="V8" s="283"/>
      <c r="W8" s="259"/>
    </row>
    <row r="9" spans="2:23" ht="16.5" customHeight="1">
      <c r="B9" s="280" t="s">
        <v>203</v>
      </c>
      <c r="C9" s="275"/>
      <c r="D9" s="275"/>
      <c r="E9" s="275"/>
      <c r="F9" s="275"/>
      <c r="G9" s="277"/>
      <c r="H9" s="276">
        <f>'2026년5월전체'!AW26</f>
        <v>200000</v>
      </c>
      <c r="I9" s="275"/>
      <c r="J9" s="275"/>
      <c r="K9" s="275"/>
      <c r="L9" s="277"/>
      <c r="M9" s="280" t="s">
        <v>28</v>
      </c>
      <c r="N9" s="275"/>
      <c r="O9" s="275"/>
      <c r="P9" s="275"/>
      <c r="Q9" s="277"/>
      <c r="R9" s="276">
        <f>'2026년5월전체'!BC26</f>
        <v>0</v>
      </c>
      <c r="S9" s="275"/>
      <c r="T9" s="275"/>
      <c r="U9" s="275"/>
      <c r="V9" s="275"/>
      <c r="W9" s="277"/>
    </row>
    <row r="10" spans="2:23" ht="16.5" customHeight="1">
      <c r="B10" s="280" t="s">
        <v>204</v>
      </c>
      <c r="C10" s="275"/>
      <c r="D10" s="275"/>
      <c r="E10" s="275"/>
      <c r="F10" s="275"/>
      <c r="G10" s="277"/>
      <c r="H10" s="276">
        <f>'2026년5월전체'!AX26</f>
        <v>0</v>
      </c>
      <c r="I10" s="275"/>
      <c r="J10" s="275"/>
      <c r="K10" s="275"/>
      <c r="L10" s="277"/>
      <c r="M10" s="280" t="s">
        <v>29</v>
      </c>
      <c r="N10" s="275"/>
      <c r="O10" s="275"/>
      <c r="P10" s="275"/>
      <c r="Q10" s="277"/>
      <c r="R10" s="276">
        <f>'2026년5월전체'!BD26</f>
        <v>0</v>
      </c>
      <c r="S10" s="275"/>
      <c r="T10" s="275"/>
      <c r="U10" s="275"/>
      <c r="V10" s="275"/>
      <c r="W10" s="277"/>
    </row>
    <row r="11" spans="2:23" ht="16.5" customHeight="1">
      <c r="B11" s="280" t="s">
        <v>33</v>
      </c>
      <c r="C11" s="275"/>
      <c r="D11" s="275"/>
      <c r="E11" s="275"/>
      <c r="F11" s="275"/>
      <c r="G11" s="277"/>
      <c r="H11" s="276">
        <f>'2026년5월전체'!AV27</f>
        <v>0</v>
      </c>
      <c r="I11" s="275"/>
      <c r="J11" s="275"/>
      <c r="K11" s="275"/>
      <c r="L11" s="277"/>
      <c r="M11" s="280" t="s">
        <v>37</v>
      </c>
      <c r="N11" s="275"/>
      <c r="O11" s="275"/>
      <c r="P11" s="275"/>
      <c r="Q11" s="277"/>
      <c r="R11" s="276">
        <f>'2026년5월전체'!BB27</f>
        <v>0</v>
      </c>
      <c r="S11" s="275"/>
      <c r="T11" s="275"/>
      <c r="U11" s="275"/>
      <c r="V11" s="275"/>
      <c r="W11" s="277"/>
    </row>
    <row r="12" spans="2:23" ht="16.5" customHeight="1">
      <c r="B12" s="280" t="s">
        <v>34</v>
      </c>
      <c r="C12" s="275"/>
      <c r="D12" s="275"/>
      <c r="E12" s="275"/>
      <c r="F12" s="275"/>
      <c r="G12" s="277"/>
      <c r="H12" s="276">
        <f>'2026년5월전체'!AW27</f>
        <v>0</v>
      </c>
      <c r="I12" s="275"/>
      <c r="J12" s="275"/>
      <c r="K12" s="275"/>
      <c r="L12" s="277"/>
      <c r="M12" s="280" t="s">
        <v>183</v>
      </c>
      <c r="N12" s="275"/>
      <c r="O12" s="275"/>
      <c r="P12" s="275"/>
      <c r="Q12" s="277"/>
      <c r="R12" s="276">
        <f>'2026년5월전체'!BC27</f>
        <v>0</v>
      </c>
      <c r="S12" s="275"/>
      <c r="T12" s="275"/>
      <c r="U12" s="275"/>
      <c r="V12" s="275"/>
      <c r="W12" s="277"/>
    </row>
    <row r="13" spans="2:23" ht="16.5" customHeight="1">
      <c r="B13" s="280" t="s">
        <v>205</v>
      </c>
      <c r="C13" s="275"/>
      <c r="D13" s="275"/>
      <c r="E13" s="275"/>
      <c r="F13" s="275"/>
      <c r="G13" s="277"/>
      <c r="H13" s="276">
        <f>'2026년5월전체'!AX27</f>
        <v>0</v>
      </c>
      <c r="I13" s="275"/>
      <c r="J13" s="275"/>
      <c r="K13" s="275"/>
      <c r="L13" s="277"/>
      <c r="M13" s="280" t="s">
        <v>39</v>
      </c>
      <c r="N13" s="275"/>
      <c r="O13" s="275"/>
      <c r="P13" s="275"/>
      <c r="Q13" s="277"/>
      <c r="R13" s="276">
        <f>'2026년5월전체'!BD27</f>
        <v>0</v>
      </c>
      <c r="S13" s="275"/>
      <c r="T13" s="275"/>
      <c r="U13" s="275"/>
      <c r="V13" s="275"/>
      <c r="W13" s="277"/>
    </row>
    <row r="14" spans="2:23" ht="16.5" customHeight="1">
      <c r="B14" s="280" t="s">
        <v>36</v>
      </c>
      <c r="C14" s="275"/>
      <c r="D14" s="275"/>
      <c r="E14" s="275"/>
      <c r="F14" s="275"/>
      <c r="G14" s="277"/>
      <c r="H14" s="276">
        <f>'2026년5월전체'!AY27</f>
        <v>0</v>
      </c>
      <c r="I14" s="275"/>
      <c r="J14" s="275"/>
      <c r="K14" s="275"/>
      <c r="L14" s="277"/>
      <c r="M14" s="280" t="s">
        <v>30</v>
      </c>
      <c r="N14" s="275"/>
      <c r="O14" s="275"/>
      <c r="P14" s="275"/>
      <c r="Q14" s="277"/>
      <c r="R14" s="276">
        <f>'2026년5월전체'!BE26</f>
        <v>100000</v>
      </c>
      <c r="S14" s="275"/>
      <c r="T14" s="275"/>
      <c r="U14" s="275"/>
      <c r="V14" s="275"/>
      <c r="W14" s="277"/>
    </row>
    <row r="15" spans="2:23" ht="16.5" customHeight="1">
      <c r="B15" s="280" t="s">
        <v>25</v>
      </c>
      <c r="C15" s="275"/>
      <c r="D15" s="275"/>
      <c r="E15" s="275"/>
      <c r="F15" s="275"/>
      <c r="G15" s="277"/>
      <c r="H15" s="276">
        <f>'2026년5월전체'!AZ26</f>
        <v>0</v>
      </c>
      <c r="I15" s="275"/>
      <c r="J15" s="275"/>
      <c r="K15" s="275"/>
      <c r="L15" s="277"/>
      <c r="M15" s="280" t="s">
        <v>206</v>
      </c>
      <c r="N15" s="275"/>
      <c r="O15" s="275"/>
      <c r="P15" s="275"/>
      <c r="Q15" s="277"/>
      <c r="R15" s="276">
        <f>'2026년5월전체'!BE27</f>
        <v>0</v>
      </c>
      <c r="S15" s="275"/>
      <c r="T15" s="275"/>
      <c r="U15" s="275"/>
      <c r="V15" s="275"/>
      <c r="W15" s="277"/>
    </row>
    <row r="16" spans="2:23" ht="16.5" customHeight="1">
      <c r="B16" s="280" t="s">
        <v>181</v>
      </c>
      <c r="C16" s="275"/>
      <c r="D16" s="275"/>
      <c r="E16" s="275"/>
      <c r="F16" s="275"/>
      <c r="G16" s="277"/>
      <c r="H16" s="276">
        <f>0</f>
        <v>0</v>
      </c>
      <c r="I16" s="275"/>
      <c r="J16" s="275"/>
      <c r="K16" s="275"/>
      <c r="L16" s="277"/>
      <c r="M16" s="280" t="s">
        <v>31</v>
      </c>
      <c r="N16" s="275"/>
      <c r="O16" s="275"/>
      <c r="P16" s="275"/>
      <c r="Q16" s="277"/>
      <c r="R16" s="276">
        <f>SUM('2026년5월전체'!BF26,'2026년5월전체'!BF27)</f>
        <v>0</v>
      </c>
      <c r="S16" s="275"/>
      <c r="T16" s="275"/>
      <c r="U16" s="275"/>
      <c r="V16" s="275"/>
      <c r="W16" s="277"/>
    </row>
    <row r="17" spans="2:23" ht="16.5" customHeight="1">
      <c r="B17" s="280" t="s">
        <v>31</v>
      </c>
      <c r="C17" s="275"/>
      <c r="D17" s="275"/>
      <c r="E17" s="275"/>
      <c r="F17" s="275"/>
      <c r="G17" s="277"/>
      <c r="H17" s="276">
        <f>SUM('2026년5월전체'!AY26,'2026년5월전체'!AZ27)</f>
        <v>0</v>
      </c>
      <c r="I17" s="275"/>
      <c r="J17" s="275"/>
      <c r="K17" s="275"/>
      <c r="L17" s="277"/>
      <c r="M17" s="280"/>
      <c r="N17" s="275"/>
      <c r="O17" s="275"/>
      <c r="P17" s="275"/>
      <c r="Q17" s="277"/>
      <c r="R17" s="276"/>
      <c r="S17" s="275"/>
      <c r="T17" s="275"/>
      <c r="U17" s="275"/>
      <c r="V17" s="275"/>
      <c r="W17" s="277"/>
    </row>
    <row r="18" spans="2:23" ht="16.5" customHeight="1">
      <c r="B18" s="280"/>
      <c r="C18" s="275"/>
      <c r="D18" s="275"/>
      <c r="E18" s="275"/>
      <c r="F18" s="275"/>
      <c r="G18" s="277"/>
      <c r="H18" s="276"/>
      <c r="I18" s="275"/>
      <c r="J18" s="275"/>
      <c r="K18" s="275"/>
      <c r="L18" s="277"/>
      <c r="M18" s="280"/>
      <c r="N18" s="275"/>
      <c r="O18" s="275"/>
      <c r="P18" s="275"/>
      <c r="Q18" s="277"/>
      <c r="R18" s="276"/>
      <c r="S18" s="275"/>
      <c r="T18" s="275"/>
      <c r="U18" s="275"/>
      <c r="V18" s="275"/>
      <c r="W18" s="277"/>
    </row>
    <row r="19" spans="2:23" ht="16.5" customHeight="1">
      <c r="B19" s="280"/>
      <c r="C19" s="275"/>
      <c r="D19" s="275"/>
      <c r="E19" s="275"/>
      <c r="F19" s="275"/>
      <c r="G19" s="277"/>
      <c r="H19" s="276">
        <f>SUM(H8:H17)</f>
        <v>2156880</v>
      </c>
      <c r="I19" s="275"/>
      <c r="J19" s="275"/>
      <c r="K19" s="275"/>
      <c r="L19" s="277"/>
      <c r="M19" s="285" t="s">
        <v>207</v>
      </c>
      <c r="N19" s="215"/>
      <c r="O19" s="215"/>
      <c r="P19" s="215"/>
      <c r="Q19" s="216"/>
      <c r="R19" s="289">
        <f>SUM(R8:R16)</f>
        <v>100000</v>
      </c>
      <c r="S19" s="215"/>
      <c r="T19" s="215"/>
      <c r="U19" s="215"/>
      <c r="V19" s="215"/>
      <c r="W19" s="216"/>
    </row>
    <row r="20" spans="2:23" ht="16.5" customHeight="1">
      <c r="B20" s="285" t="s">
        <v>208</v>
      </c>
      <c r="C20" s="215"/>
      <c r="D20" s="215"/>
      <c r="E20" s="215"/>
      <c r="F20" s="215"/>
      <c r="G20" s="216"/>
      <c r="H20" s="289">
        <f>SUM(H8:L19)</f>
        <v>4313760</v>
      </c>
      <c r="I20" s="215"/>
      <c r="J20" s="215"/>
      <c r="K20" s="215"/>
      <c r="L20" s="216"/>
      <c r="M20" s="285" t="s">
        <v>4</v>
      </c>
      <c r="N20" s="215"/>
      <c r="O20" s="215"/>
      <c r="P20" s="215"/>
      <c r="Q20" s="216"/>
      <c r="R20" s="289">
        <f>H19-R19</f>
        <v>2056880</v>
      </c>
      <c r="S20" s="215"/>
      <c r="T20" s="215"/>
      <c r="U20" s="215"/>
      <c r="V20" s="215"/>
      <c r="W20" s="216"/>
    </row>
    <row r="21" spans="2:23" ht="20.100000000000001" customHeight="1">
      <c r="B21" s="290" t="s">
        <v>209</v>
      </c>
      <c r="C21" s="283"/>
      <c r="D21" s="283"/>
      <c r="E21" s="292">
        <f>'[1]1.설정'!B7</f>
        <v>0</v>
      </c>
      <c r="F21" s="283"/>
      <c r="G21" s="283"/>
      <c r="H21" s="283"/>
      <c r="I21" s="283"/>
      <c r="J21" s="291" t="s">
        <v>210</v>
      </c>
      <c r="K21" s="283"/>
      <c r="L21" s="283"/>
      <c r="M21" s="283"/>
      <c r="N21" s="288">
        <f>'[1]1.설정'!B8</f>
        <v>0</v>
      </c>
      <c r="O21" s="283"/>
      <c r="P21" s="283"/>
      <c r="Q21" s="283"/>
      <c r="R21" s="283"/>
      <c r="S21" s="283"/>
      <c r="T21" s="283"/>
      <c r="U21" s="283"/>
      <c r="V21" s="283"/>
      <c r="W21" s="283"/>
    </row>
    <row r="22" spans="2:23" ht="24.95" customHeight="1">
      <c r="B22" s="274" t="s">
        <v>211</v>
      </c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</row>
    <row r="23" spans="2:23" ht="24.95" customHeight="1">
      <c r="B23" s="284" t="s">
        <v>212</v>
      </c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</row>
  </sheetData>
  <mergeCells count="77">
    <mergeCell ref="B20:G20"/>
    <mergeCell ref="M16:Q16"/>
    <mergeCell ref="M6:W6"/>
    <mergeCell ref="R9:W9"/>
    <mergeCell ref="R14:W14"/>
    <mergeCell ref="M18:Q18"/>
    <mergeCell ref="M8:Q8"/>
    <mergeCell ref="R11:W11"/>
    <mergeCell ref="M17:Q17"/>
    <mergeCell ref="H14:L14"/>
    <mergeCell ref="M19:Q19"/>
    <mergeCell ref="M12:Q12"/>
    <mergeCell ref="H11:L11"/>
    <mergeCell ref="B2:W2"/>
    <mergeCell ref="B16:G16"/>
    <mergeCell ref="H15:L15"/>
    <mergeCell ref="M14:Q14"/>
    <mergeCell ref="H18:L18"/>
    <mergeCell ref="B18:G18"/>
    <mergeCell ref="S4:W4"/>
    <mergeCell ref="H8:L8"/>
    <mergeCell ref="R7:W7"/>
    <mergeCell ref="R16:W16"/>
    <mergeCell ref="B17:G17"/>
    <mergeCell ref="H10:L10"/>
    <mergeCell ref="H9:L9"/>
    <mergeCell ref="R17:W17"/>
    <mergeCell ref="B9:G9"/>
    <mergeCell ref="M10:Q10"/>
    <mergeCell ref="B22:W22"/>
    <mergeCell ref="R8:W8"/>
    <mergeCell ref="N21:W21"/>
    <mergeCell ref="B6:L6"/>
    <mergeCell ref="R10:W10"/>
    <mergeCell ref="R19:W19"/>
    <mergeCell ref="B21:D21"/>
    <mergeCell ref="B11:G11"/>
    <mergeCell ref="H20:L20"/>
    <mergeCell ref="J21:M21"/>
    <mergeCell ref="B15:G15"/>
    <mergeCell ref="H13:L13"/>
    <mergeCell ref="B7:G7"/>
    <mergeCell ref="E21:I21"/>
    <mergeCell ref="R20:W20"/>
    <mergeCell ref="B19:G19"/>
    <mergeCell ref="B23:W23"/>
    <mergeCell ref="L4:O4"/>
    <mergeCell ref="R13:W13"/>
    <mergeCell ref="B12:G12"/>
    <mergeCell ref="R15:W15"/>
    <mergeCell ref="B14:G14"/>
    <mergeCell ref="R12:W12"/>
    <mergeCell ref="B13:G13"/>
    <mergeCell ref="M9:Q9"/>
    <mergeCell ref="M20:Q20"/>
    <mergeCell ref="M11:Q11"/>
    <mergeCell ref="I4:K4"/>
    <mergeCell ref="E5:H5"/>
    <mergeCell ref="B5:D5"/>
    <mergeCell ref="H7:L7"/>
    <mergeCell ref="M15:Q15"/>
    <mergeCell ref="P5:R5"/>
    <mergeCell ref="B4:D4"/>
    <mergeCell ref="H19:L19"/>
    <mergeCell ref="P4:R4"/>
    <mergeCell ref="L5:O5"/>
    <mergeCell ref="H12:L12"/>
    <mergeCell ref="R18:W18"/>
    <mergeCell ref="H16:L16"/>
    <mergeCell ref="E4:H4"/>
    <mergeCell ref="I5:K5"/>
    <mergeCell ref="M13:Q13"/>
    <mergeCell ref="M7:Q7"/>
    <mergeCell ref="S5:W5"/>
    <mergeCell ref="B8:G8"/>
    <mergeCell ref="B10:G10"/>
    <mergeCell ref="H17:L17"/>
  </mergeCells>
  <phoneticPr fontId="2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W23"/>
  <sheetViews>
    <sheetView zoomScaleNormal="100" workbookViewId="0">
      <selection activeCell="AA24" sqref="AA24"/>
    </sheetView>
  </sheetViews>
  <sheetFormatPr defaultColWidth="9" defaultRowHeight="16.5" customHeight="1"/>
  <cols>
    <col min="1" max="1" width="2.5" style="63" customWidth="1"/>
    <col min="2" max="23" width="3.625" style="63" customWidth="1"/>
    <col min="24" max="24" width="2.5" style="63" customWidth="1"/>
    <col min="25" max="257" width="9" style="63" customWidth="1"/>
  </cols>
  <sheetData>
    <row r="2" spans="2:23" ht="26.25" customHeight="1">
      <c r="B2" s="293" t="str">
        <f>TEXT(DATE('2026년5월전체'!S1,'2026년5월전체'!V1,1),"yyyy년 m월")&amp;" 사업소득명세서"</f>
        <v>2026년 5월 사업소득명세서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</row>
    <row r="4" spans="2:23" ht="16.5" customHeight="1">
      <c r="B4" s="274" t="s">
        <v>194</v>
      </c>
      <c r="C4" s="275"/>
      <c r="D4" s="275"/>
      <c r="E4" s="279" t="str">
        <f>'2026년5월전체'!B32</f>
        <v>CM011</v>
      </c>
      <c r="F4" s="275"/>
      <c r="G4" s="275"/>
      <c r="H4" s="275"/>
      <c r="I4" s="274"/>
      <c r="J4" s="275"/>
      <c r="K4" s="275"/>
      <c r="L4" s="279" t="str">
        <f>'2026년5월전체'!C32</f>
        <v>이학철</v>
      </c>
      <c r="M4" s="275"/>
      <c r="N4" s="275"/>
      <c r="O4" s="275"/>
      <c r="P4" s="274" t="s">
        <v>213</v>
      </c>
      <c r="Q4" s="275"/>
      <c r="R4" s="275"/>
      <c r="S4" s="294">
        <f>'2026년5월전체'!G32</f>
        <v>0</v>
      </c>
      <c r="T4" s="275"/>
      <c r="U4" s="275"/>
      <c r="V4" s="275"/>
      <c r="W4" s="275"/>
    </row>
    <row r="5" spans="2:23" ht="16.5" customHeight="1">
      <c r="B5" s="269" t="str">
        <f>"이     름 :"</f>
        <v>이     름 :</v>
      </c>
      <c r="C5" s="195"/>
      <c r="D5" s="195"/>
      <c r="E5" s="278"/>
      <c r="F5" s="195"/>
      <c r="G5" s="195"/>
      <c r="H5" s="195"/>
      <c r="I5" s="269" t="str">
        <f>"정산기간 :"</f>
        <v>정산기간 :</v>
      </c>
      <c r="J5" s="195"/>
      <c r="K5" s="195"/>
      <c r="L5" s="296" t="str">
        <f>TEXT(DATE('2026년5월전체'!S1,'2026년5월전체'!V1,1),"yy/m/d")&amp;"~"&amp;TEXT(EOMONTH(DATE('2026년5월전체'!S1,'2026년5월전체'!V1,1),0),"m/d")</f>
        <v>26/5/1~5/31</v>
      </c>
      <c r="M5" s="195"/>
      <c r="N5" s="195"/>
      <c r="O5" s="195"/>
      <c r="P5" s="269" t="s">
        <v>199</v>
      </c>
      <c r="Q5" s="195"/>
      <c r="R5" s="195"/>
      <c r="S5" s="278"/>
      <c r="T5" s="195"/>
      <c r="U5" s="195"/>
      <c r="V5" s="195"/>
      <c r="W5" s="195"/>
    </row>
    <row r="6" spans="2:23" ht="16.5" customHeight="1">
      <c r="B6" s="281" t="s">
        <v>2</v>
      </c>
      <c r="C6" s="215"/>
      <c r="D6" s="215"/>
      <c r="E6" s="215"/>
      <c r="F6" s="215"/>
      <c r="G6" s="215"/>
      <c r="H6" s="215"/>
      <c r="I6" s="215"/>
      <c r="J6" s="215"/>
      <c r="K6" s="215"/>
      <c r="L6" s="216"/>
      <c r="M6" s="281" t="s">
        <v>200</v>
      </c>
      <c r="N6" s="215"/>
      <c r="O6" s="215"/>
      <c r="P6" s="215"/>
      <c r="Q6" s="215"/>
      <c r="R6" s="215"/>
      <c r="S6" s="215"/>
      <c r="T6" s="215"/>
      <c r="U6" s="215"/>
      <c r="V6" s="215"/>
      <c r="W6" s="216"/>
    </row>
    <row r="7" spans="2:23" ht="16.5" customHeight="1">
      <c r="B7" s="281" t="s">
        <v>201</v>
      </c>
      <c r="C7" s="215"/>
      <c r="D7" s="215"/>
      <c r="E7" s="215"/>
      <c r="F7" s="215"/>
      <c r="G7" s="216"/>
      <c r="H7" s="286" t="s">
        <v>202</v>
      </c>
      <c r="I7" s="215"/>
      <c r="J7" s="215"/>
      <c r="K7" s="215"/>
      <c r="L7" s="216"/>
      <c r="M7" s="281" t="s">
        <v>201</v>
      </c>
      <c r="N7" s="215"/>
      <c r="O7" s="215"/>
      <c r="P7" s="215"/>
      <c r="Q7" s="216"/>
      <c r="R7" s="281" t="s">
        <v>202</v>
      </c>
      <c r="S7" s="215"/>
      <c r="T7" s="215"/>
      <c r="U7" s="215"/>
      <c r="V7" s="215"/>
      <c r="W7" s="216"/>
    </row>
    <row r="8" spans="2:23" ht="16.5" customHeight="1">
      <c r="B8" s="282" t="s">
        <v>214</v>
      </c>
      <c r="C8" s="283"/>
      <c r="D8" s="283"/>
      <c r="E8" s="283"/>
      <c r="F8" s="283"/>
      <c r="G8" s="259"/>
      <c r="H8" s="287">
        <f>SUM('2026년5월전체'!AV32:AZ33)</f>
        <v>0</v>
      </c>
      <c r="I8" s="283"/>
      <c r="J8" s="283"/>
      <c r="K8" s="283"/>
      <c r="L8" s="259"/>
      <c r="M8" s="282" t="s">
        <v>38</v>
      </c>
      <c r="N8" s="283"/>
      <c r="O8" s="283"/>
      <c r="P8" s="283"/>
      <c r="Q8" s="259"/>
      <c r="R8" s="287">
        <f>'2026년5월전체'!BB33</f>
        <v>0</v>
      </c>
      <c r="S8" s="283"/>
      <c r="T8" s="283"/>
      <c r="U8" s="283"/>
      <c r="V8" s="283"/>
      <c r="W8" s="259"/>
    </row>
    <row r="9" spans="2:23" ht="16.5" customHeight="1">
      <c r="B9" s="280"/>
      <c r="C9" s="275"/>
      <c r="D9" s="275"/>
      <c r="E9" s="275"/>
      <c r="F9" s="275"/>
      <c r="G9" s="277"/>
      <c r="H9" s="276"/>
      <c r="I9" s="275"/>
      <c r="J9" s="275"/>
      <c r="K9" s="275"/>
      <c r="L9" s="277"/>
      <c r="M9" s="280" t="s">
        <v>39</v>
      </c>
      <c r="N9" s="275"/>
      <c r="O9" s="275"/>
      <c r="P9" s="275"/>
      <c r="Q9" s="277"/>
      <c r="R9" s="276">
        <f>'2026년5월전체'!BC33</f>
        <v>0</v>
      </c>
      <c r="S9" s="275"/>
      <c r="T9" s="275"/>
      <c r="U9" s="275"/>
      <c r="V9" s="275"/>
      <c r="W9" s="277"/>
    </row>
    <row r="10" spans="2:23" ht="16.5" customHeight="1">
      <c r="B10" s="280"/>
      <c r="C10" s="275"/>
      <c r="D10" s="275"/>
      <c r="E10" s="275"/>
      <c r="F10" s="275"/>
      <c r="G10" s="277"/>
      <c r="H10" s="276"/>
      <c r="I10" s="275"/>
      <c r="J10" s="275"/>
      <c r="K10" s="275"/>
      <c r="L10" s="277"/>
      <c r="M10" s="280" t="s">
        <v>30</v>
      </c>
      <c r="N10" s="275"/>
      <c r="O10" s="275"/>
      <c r="P10" s="275"/>
      <c r="Q10" s="277"/>
      <c r="R10" s="276">
        <f>'2026년5월전체'!BE32</f>
        <v>0</v>
      </c>
      <c r="S10" s="275"/>
      <c r="T10" s="275"/>
      <c r="U10" s="275"/>
      <c r="V10" s="275"/>
      <c r="W10" s="277"/>
    </row>
    <row r="11" spans="2:23" ht="16.5" customHeight="1">
      <c r="B11" s="280"/>
      <c r="C11" s="275"/>
      <c r="D11" s="275"/>
      <c r="E11" s="275"/>
      <c r="F11" s="275"/>
      <c r="G11" s="277"/>
      <c r="H11" s="276"/>
      <c r="I11" s="275"/>
      <c r="J11" s="275"/>
      <c r="K11" s="275"/>
      <c r="L11" s="277"/>
      <c r="M11" s="280" t="s">
        <v>40</v>
      </c>
      <c r="N11" s="275"/>
      <c r="O11" s="275"/>
      <c r="P11" s="275"/>
      <c r="Q11" s="277"/>
      <c r="R11" s="276">
        <f>'2026년5월전체'!BE33</f>
        <v>0</v>
      </c>
      <c r="S11" s="275"/>
      <c r="T11" s="275"/>
      <c r="U11" s="275"/>
      <c r="V11" s="275"/>
      <c r="W11" s="277"/>
    </row>
    <row r="12" spans="2:23" ht="16.5" customHeight="1">
      <c r="B12" s="280"/>
      <c r="C12" s="275"/>
      <c r="D12" s="275"/>
      <c r="E12" s="275"/>
      <c r="F12" s="275"/>
      <c r="G12" s="277"/>
      <c r="H12" s="276"/>
      <c r="I12" s="275"/>
      <c r="J12" s="275"/>
      <c r="K12" s="275"/>
      <c r="L12" s="277"/>
      <c r="M12" s="280" t="s">
        <v>31</v>
      </c>
      <c r="N12" s="275"/>
      <c r="O12" s="275"/>
      <c r="P12" s="275"/>
      <c r="Q12" s="277"/>
      <c r="R12" s="276">
        <f>SUM(R8:R11)</f>
        <v>0</v>
      </c>
      <c r="S12" s="275"/>
      <c r="T12" s="275"/>
      <c r="U12" s="275"/>
      <c r="V12" s="275"/>
      <c r="W12" s="277"/>
    </row>
    <row r="13" spans="2:23" ht="16.5" customHeight="1">
      <c r="B13" s="280"/>
      <c r="C13" s="275"/>
      <c r="D13" s="275"/>
      <c r="E13" s="275"/>
      <c r="F13" s="275"/>
      <c r="G13" s="277"/>
      <c r="H13" s="276"/>
      <c r="I13" s="275"/>
      <c r="J13" s="275"/>
      <c r="K13" s="275"/>
      <c r="L13" s="277"/>
      <c r="M13" s="280"/>
      <c r="N13" s="275"/>
      <c r="O13" s="275"/>
      <c r="P13" s="275"/>
      <c r="Q13" s="277"/>
      <c r="R13" s="276"/>
      <c r="S13" s="275"/>
      <c r="T13" s="275"/>
      <c r="U13" s="275"/>
      <c r="V13" s="275"/>
      <c r="W13" s="277"/>
    </row>
    <row r="14" spans="2:23" ht="16.5" customHeight="1">
      <c r="B14" s="280"/>
      <c r="C14" s="275"/>
      <c r="D14" s="275"/>
      <c r="E14" s="275"/>
      <c r="F14" s="275"/>
      <c r="G14" s="277"/>
      <c r="H14" s="276"/>
      <c r="I14" s="275"/>
      <c r="J14" s="275"/>
      <c r="K14" s="275"/>
      <c r="L14" s="277"/>
      <c r="M14" s="280"/>
      <c r="N14" s="275"/>
      <c r="O14" s="275"/>
      <c r="P14" s="275"/>
      <c r="Q14" s="277"/>
      <c r="R14" s="276"/>
      <c r="S14" s="275"/>
      <c r="T14" s="275"/>
      <c r="U14" s="275"/>
      <c r="V14" s="275"/>
      <c r="W14" s="277"/>
    </row>
    <row r="15" spans="2:23" ht="16.5" customHeight="1">
      <c r="B15" s="280"/>
      <c r="C15" s="275"/>
      <c r="D15" s="275"/>
      <c r="E15" s="275"/>
      <c r="F15" s="275"/>
      <c r="G15" s="277"/>
      <c r="H15" s="276"/>
      <c r="I15" s="275"/>
      <c r="J15" s="275"/>
      <c r="K15" s="275"/>
      <c r="L15" s="277"/>
      <c r="M15" s="280"/>
      <c r="N15" s="275"/>
      <c r="O15" s="275"/>
      <c r="P15" s="275"/>
      <c r="Q15" s="277"/>
      <c r="R15" s="276"/>
      <c r="S15" s="275"/>
      <c r="T15" s="275"/>
      <c r="U15" s="275"/>
      <c r="V15" s="275"/>
      <c r="W15" s="277"/>
    </row>
    <row r="16" spans="2:23" ht="16.5" customHeight="1">
      <c r="B16" s="280"/>
      <c r="C16" s="275"/>
      <c r="D16" s="275"/>
      <c r="E16" s="275"/>
      <c r="F16" s="275"/>
      <c r="G16" s="277"/>
      <c r="H16" s="276"/>
      <c r="I16" s="275"/>
      <c r="J16" s="275"/>
      <c r="K16" s="275"/>
      <c r="L16" s="277"/>
      <c r="M16" s="280"/>
      <c r="N16" s="275"/>
      <c r="O16" s="275"/>
      <c r="P16" s="275"/>
      <c r="Q16" s="277"/>
      <c r="R16" s="276"/>
      <c r="S16" s="275"/>
      <c r="T16" s="275"/>
      <c r="U16" s="275"/>
      <c r="V16" s="275"/>
      <c r="W16" s="277"/>
    </row>
    <row r="17" spans="2:23" ht="16.5" customHeight="1">
      <c r="B17" s="280"/>
      <c r="C17" s="275"/>
      <c r="D17" s="275"/>
      <c r="E17" s="275"/>
      <c r="F17" s="275"/>
      <c r="G17" s="277"/>
      <c r="H17" s="276"/>
      <c r="I17" s="275"/>
      <c r="J17" s="275"/>
      <c r="K17" s="275"/>
      <c r="L17" s="277"/>
      <c r="M17" s="280"/>
      <c r="N17" s="275"/>
      <c r="O17" s="275"/>
      <c r="P17" s="275"/>
      <c r="Q17" s="277"/>
      <c r="R17" s="276"/>
      <c r="S17" s="275"/>
      <c r="T17" s="275"/>
      <c r="U17" s="275"/>
      <c r="V17" s="275"/>
      <c r="W17" s="277"/>
    </row>
    <row r="18" spans="2:23" ht="16.5" customHeight="1">
      <c r="B18" s="280"/>
      <c r="C18" s="275"/>
      <c r="D18" s="275"/>
      <c r="E18" s="275"/>
      <c r="F18" s="275"/>
      <c r="G18" s="277"/>
      <c r="H18" s="276"/>
      <c r="I18" s="275"/>
      <c r="J18" s="275"/>
      <c r="K18" s="275"/>
      <c r="L18" s="277"/>
      <c r="M18" s="280"/>
      <c r="N18" s="275"/>
      <c r="O18" s="275"/>
      <c r="P18" s="275"/>
      <c r="Q18" s="277"/>
      <c r="R18" s="276"/>
      <c r="S18" s="275"/>
      <c r="T18" s="275"/>
      <c r="U18" s="275"/>
      <c r="V18" s="275"/>
      <c r="W18" s="277"/>
    </row>
    <row r="19" spans="2:23" ht="16.5" customHeight="1">
      <c r="B19" s="295" t="s">
        <v>215</v>
      </c>
      <c r="C19" s="195"/>
      <c r="D19" s="195"/>
      <c r="E19" s="195"/>
      <c r="F19" s="195"/>
      <c r="G19" s="195"/>
      <c r="H19" s="195"/>
      <c r="I19" s="195"/>
      <c r="J19" s="195"/>
      <c r="K19" s="195"/>
      <c r="L19" s="261"/>
      <c r="M19" s="285" t="s">
        <v>207</v>
      </c>
      <c r="N19" s="215"/>
      <c r="O19" s="215"/>
      <c r="P19" s="215"/>
      <c r="Q19" s="216"/>
      <c r="R19" s="289">
        <f>SUM(R8:W18)</f>
        <v>0</v>
      </c>
      <c r="S19" s="215"/>
      <c r="T19" s="215"/>
      <c r="U19" s="215"/>
      <c r="V19" s="215"/>
      <c r="W19" s="216"/>
    </row>
    <row r="20" spans="2:23" ht="16.5" customHeight="1">
      <c r="B20" s="285" t="s">
        <v>208</v>
      </c>
      <c r="C20" s="215"/>
      <c r="D20" s="215"/>
      <c r="E20" s="215"/>
      <c r="F20" s="215"/>
      <c r="G20" s="216"/>
      <c r="H20" s="289">
        <f>H8</f>
        <v>0</v>
      </c>
      <c r="I20" s="215"/>
      <c r="J20" s="215"/>
      <c r="K20" s="215"/>
      <c r="L20" s="216"/>
      <c r="M20" s="285" t="s">
        <v>4</v>
      </c>
      <c r="N20" s="215"/>
      <c r="O20" s="215"/>
      <c r="P20" s="215"/>
      <c r="Q20" s="216"/>
      <c r="R20" s="289">
        <f>H20-R18</f>
        <v>0</v>
      </c>
      <c r="S20" s="215"/>
      <c r="T20" s="215"/>
      <c r="U20" s="215"/>
      <c r="V20" s="215"/>
      <c r="W20" s="216"/>
    </row>
    <row r="21" spans="2:23" ht="20.100000000000001" customHeight="1">
      <c r="B21" s="290" t="s">
        <v>209</v>
      </c>
      <c r="C21" s="283"/>
      <c r="D21" s="283"/>
      <c r="E21" s="292" t="str">
        <f>'2026년5월전체'!C32</f>
        <v>이학철</v>
      </c>
      <c r="F21" s="283"/>
      <c r="G21" s="283"/>
      <c r="H21" s="283"/>
      <c r="I21" s="283"/>
      <c r="J21" s="291" t="s">
        <v>210</v>
      </c>
      <c r="K21" s="283"/>
      <c r="L21" s="283"/>
      <c r="M21" s="283"/>
      <c r="N21" s="288" t="str">
        <f>'2026년5월전체'!I32</f>
        <v>농협
351-0837-1428-13</v>
      </c>
      <c r="O21" s="283"/>
      <c r="P21" s="283"/>
      <c r="Q21" s="283"/>
      <c r="R21" s="283"/>
      <c r="S21" s="283"/>
      <c r="T21" s="283"/>
      <c r="U21" s="283"/>
      <c r="V21" s="283"/>
      <c r="W21" s="283"/>
    </row>
    <row r="22" spans="2:23" ht="24.95" customHeight="1">
      <c r="B22" s="274" t="s">
        <v>211</v>
      </c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</row>
    <row r="23" spans="2:23" ht="24.95" customHeight="1">
      <c r="B23" s="284" t="s">
        <v>212</v>
      </c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</row>
  </sheetData>
  <mergeCells count="76">
    <mergeCell ref="B23:W23"/>
    <mergeCell ref="S5:W5"/>
    <mergeCell ref="L4:O4"/>
    <mergeCell ref="M14:Q14"/>
    <mergeCell ref="R13:W13"/>
    <mergeCell ref="H14:L14"/>
    <mergeCell ref="B12:G12"/>
    <mergeCell ref="B18:G18"/>
    <mergeCell ref="H18:L18"/>
    <mergeCell ref="M19:Q19"/>
    <mergeCell ref="S4:W4"/>
    <mergeCell ref="B21:D21"/>
    <mergeCell ref="H8:L8"/>
    <mergeCell ref="R7:W7"/>
    <mergeCell ref="B11:G11"/>
    <mergeCell ref="B22:W22"/>
    <mergeCell ref="B2:W2"/>
    <mergeCell ref="L5:O5"/>
    <mergeCell ref="M8:Q8"/>
    <mergeCell ref="R11:W11"/>
    <mergeCell ref="B16:G16"/>
    <mergeCell ref="B6:L6"/>
    <mergeCell ref="R10:W10"/>
    <mergeCell ref="H12:L12"/>
    <mergeCell ref="H15:L15"/>
    <mergeCell ref="R8:W8"/>
    <mergeCell ref="R14:W14"/>
    <mergeCell ref="H13:L13"/>
    <mergeCell ref="B4:D4"/>
    <mergeCell ref="M13:Q13"/>
    <mergeCell ref="B15:G15"/>
    <mergeCell ref="M7:Q7"/>
    <mergeCell ref="E4:H4"/>
    <mergeCell ref="M6:W6"/>
    <mergeCell ref="R9:W9"/>
    <mergeCell ref="B19:L19"/>
    <mergeCell ref="P4:R4"/>
    <mergeCell ref="B7:G7"/>
    <mergeCell ref="I5:K5"/>
    <mergeCell ref="R17:W17"/>
    <mergeCell ref="B9:G9"/>
    <mergeCell ref="M10:Q10"/>
    <mergeCell ref="I4:K4"/>
    <mergeCell ref="E5:H5"/>
    <mergeCell ref="B5:D5"/>
    <mergeCell ref="M12:Q12"/>
    <mergeCell ref="H11:L11"/>
    <mergeCell ref="H17:L17"/>
    <mergeCell ref="M17:Q17"/>
    <mergeCell ref="H7:L7"/>
    <mergeCell ref="P5:R5"/>
    <mergeCell ref="H10:L10"/>
    <mergeCell ref="B8:G8"/>
    <mergeCell ref="R12:W12"/>
    <mergeCell ref="R16:W16"/>
    <mergeCell ref="B13:G13"/>
    <mergeCell ref="M9:Q9"/>
    <mergeCell ref="H9:L9"/>
    <mergeCell ref="B10:G10"/>
    <mergeCell ref="M11:Q11"/>
    <mergeCell ref="E21:I21"/>
    <mergeCell ref="R15:W15"/>
    <mergeCell ref="B14:G14"/>
    <mergeCell ref="H20:L20"/>
    <mergeCell ref="B17:G17"/>
    <mergeCell ref="J21:M21"/>
    <mergeCell ref="R20:W20"/>
    <mergeCell ref="M20:Q20"/>
    <mergeCell ref="B20:G20"/>
    <mergeCell ref="M15:Q15"/>
    <mergeCell ref="R18:W18"/>
    <mergeCell ref="H16:L16"/>
    <mergeCell ref="M16:Q16"/>
    <mergeCell ref="M18:Q18"/>
    <mergeCell ref="N21:W21"/>
    <mergeCell ref="R19:W19"/>
  </mergeCells>
  <phoneticPr fontId="25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2026년5월전체</vt:lpstr>
      <vt:lpstr>공휴일테이블</vt:lpstr>
      <vt:lpstr>급여대장(월급,일용,시급)</vt:lpstr>
      <vt:lpstr>급여대장(사업소득자)</vt:lpstr>
      <vt:lpstr>급여정산 테이블</vt:lpstr>
      <vt:lpstr>급여명세서(월급,일용,시급)</vt:lpstr>
      <vt:lpstr>급여명세서(사업소득자)</vt:lpstr>
      <vt:lpstr>'2026년5월전체'!Print_Area</vt:lpstr>
      <vt:lpstr>'급여대장(사업소득자)'!Print_Area</vt:lpstr>
      <vt:lpstr>'급여대장(월급,일용,시급)'!Print_Area</vt:lpstr>
      <vt:lpstr>'2026년5월전체'!Print_Titles</vt:lpstr>
      <vt:lpstr>'급여대장(사업소득자)'!Print_Titles</vt:lpstr>
      <vt:lpstr>'급여대장(월급,일용,시급)'!Print_Titles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cp:revision>0</cp:revision>
  <cp:lastPrinted>2026-04-30T08:44:02Z</cp:lastPrinted>
  <dcterms:created xsi:type="dcterms:W3CDTF">2015-01-14T04:55:20Z</dcterms:created>
  <dcterms:modified xsi:type="dcterms:W3CDTF">2026-05-13T10:29:41Z</dcterms:modified>
  <dc:language>en-US</dc:language>
</cp:coreProperties>
</file>