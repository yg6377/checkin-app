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작업폴더\총무\노무\26년노무대장\5월\"/>
    </mc:Choice>
  </mc:AlternateContent>
  <xr:revisionPtr revIDLastSave="0" documentId="8_{0396DFF8-E6ED-4F7D-A2FE-241A138BA1E0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1.설정(통합)" sheetId="1" r:id="rId1"/>
    <sheet name="2.공휴일리스트" sheetId="2" r:id="rId2"/>
    <sheet name="3.출퇴근기록부(통합)" sheetId="3" r:id="rId3"/>
    <sheet name="4.급여명세서" sheetId="4" r:id="rId4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" i="4" l="1"/>
  <c r="C20" i="4"/>
  <c r="R16" i="4"/>
  <c r="H16" i="4"/>
  <c r="R15" i="4"/>
  <c r="H15" i="4"/>
  <c r="R14" i="4"/>
  <c r="H14" i="4"/>
  <c r="H6" i="4"/>
  <c r="C6" i="4"/>
  <c r="M5" i="4"/>
  <c r="H5" i="4"/>
  <c r="C5" i="4"/>
  <c r="AL34" i="3"/>
  <c r="AH34" i="3"/>
  <c r="AE34" i="3"/>
  <c r="AA34" i="3"/>
  <c r="X34" i="3"/>
  <c r="T34" i="3"/>
  <c r="Q34" i="3"/>
  <c r="M34" i="3"/>
  <c r="J34" i="3"/>
  <c r="F34" i="3"/>
  <c r="A34" i="3"/>
  <c r="C34" i="3" s="1"/>
  <c r="AL33" i="3"/>
  <c r="AE33" i="3"/>
  <c r="X33" i="3"/>
  <c r="Q33" i="3"/>
  <c r="J33" i="3"/>
  <c r="A33" i="3"/>
  <c r="B33" i="3" s="1"/>
  <c r="AL32" i="3"/>
  <c r="AE32" i="3"/>
  <c r="X32" i="3"/>
  <c r="Q32" i="3"/>
  <c r="J32" i="3"/>
  <c r="A32" i="3"/>
  <c r="B32" i="3" s="1"/>
  <c r="AL31" i="3"/>
  <c r="AE31" i="3"/>
  <c r="X31" i="3"/>
  <c r="Q31" i="3"/>
  <c r="J31" i="3"/>
  <c r="A31" i="3"/>
  <c r="C31" i="3" s="1"/>
  <c r="AL30" i="3"/>
  <c r="AE30" i="3"/>
  <c r="X30" i="3"/>
  <c r="Q30" i="3"/>
  <c r="J30" i="3"/>
  <c r="A30" i="3"/>
  <c r="B30" i="3" s="1"/>
  <c r="AL29" i="3"/>
  <c r="AE29" i="3"/>
  <c r="X29" i="3"/>
  <c r="T29" i="3"/>
  <c r="Q29" i="3"/>
  <c r="J29" i="3"/>
  <c r="A29" i="3"/>
  <c r="B29" i="3" s="1"/>
  <c r="AL28" i="3"/>
  <c r="AE28" i="3"/>
  <c r="X28" i="3"/>
  <c r="Q28" i="3"/>
  <c r="J28" i="3"/>
  <c r="A28" i="3"/>
  <c r="C28" i="3" s="1"/>
  <c r="AL27" i="3"/>
  <c r="AE27" i="3"/>
  <c r="X27" i="3"/>
  <c r="Q27" i="3"/>
  <c r="J27" i="3"/>
  <c r="A27" i="3"/>
  <c r="B27" i="3" s="1"/>
  <c r="AL26" i="3"/>
  <c r="AE26" i="3"/>
  <c r="X26" i="3"/>
  <c r="Q26" i="3"/>
  <c r="J26" i="3"/>
  <c r="A26" i="3"/>
  <c r="B26" i="3" s="1"/>
  <c r="AL25" i="3"/>
  <c r="AE25" i="3"/>
  <c r="X25" i="3"/>
  <c r="Q25" i="3"/>
  <c r="J25" i="3"/>
  <c r="A25" i="3"/>
  <c r="C25" i="3" s="1"/>
  <c r="AL24" i="3"/>
  <c r="AE24" i="3"/>
  <c r="X24" i="3"/>
  <c r="Q24" i="3"/>
  <c r="J24" i="3"/>
  <c r="A24" i="3"/>
  <c r="B24" i="3" s="1"/>
  <c r="AL23" i="3"/>
  <c r="AE23" i="3"/>
  <c r="X23" i="3"/>
  <c r="Q23" i="3"/>
  <c r="J23" i="3"/>
  <c r="A23" i="3"/>
  <c r="B23" i="3" s="1"/>
  <c r="AL22" i="3"/>
  <c r="AE22" i="3"/>
  <c r="X22" i="3"/>
  <c r="Q22" i="3"/>
  <c r="J22" i="3"/>
  <c r="A22" i="3"/>
  <c r="C22" i="3" s="1"/>
  <c r="AL21" i="3"/>
  <c r="AE21" i="3"/>
  <c r="X21" i="3"/>
  <c r="Q21" i="3"/>
  <c r="J21" i="3"/>
  <c r="A21" i="3"/>
  <c r="B21" i="3" s="1"/>
  <c r="AL20" i="3"/>
  <c r="AE20" i="3"/>
  <c r="X20" i="3"/>
  <c r="Q20" i="3"/>
  <c r="J20" i="3"/>
  <c r="A20" i="3"/>
  <c r="B20" i="3" s="1"/>
  <c r="AL19" i="3"/>
  <c r="AE19" i="3"/>
  <c r="X19" i="3"/>
  <c r="Q19" i="3"/>
  <c r="J19" i="3"/>
  <c r="A19" i="3"/>
  <c r="C19" i="3" s="1"/>
  <c r="AL18" i="3"/>
  <c r="AE18" i="3"/>
  <c r="X18" i="3"/>
  <c r="Q18" i="3"/>
  <c r="J18" i="3"/>
  <c r="A18" i="3"/>
  <c r="B18" i="3" s="1"/>
  <c r="AL17" i="3"/>
  <c r="AE17" i="3"/>
  <c r="X17" i="3"/>
  <c r="Q17" i="3"/>
  <c r="J17" i="3"/>
  <c r="F17" i="3"/>
  <c r="A17" i="3"/>
  <c r="B17" i="3" s="1"/>
  <c r="AL16" i="3"/>
  <c r="AE16" i="3"/>
  <c r="X16" i="3"/>
  <c r="Q16" i="3"/>
  <c r="J16" i="3"/>
  <c r="F16" i="3"/>
  <c r="A16" i="3"/>
  <c r="C16" i="3" s="1"/>
  <c r="AL15" i="3"/>
  <c r="AE15" i="3"/>
  <c r="X15" i="3"/>
  <c r="Q15" i="3"/>
  <c r="J15" i="3"/>
  <c r="F15" i="3"/>
  <c r="A15" i="3"/>
  <c r="B15" i="3" s="1"/>
  <c r="AL14" i="3"/>
  <c r="AE14" i="3"/>
  <c r="X14" i="3"/>
  <c r="Q14" i="3"/>
  <c r="J14" i="3"/>
  <c r="F14" i="3"/>
  <c r="A14" i="3"/>
  <c r="B14" i="3" s="1"/>
  <c r="AL13" i="3"/>
  <c r="AE13" i="3"/>
  <c r="X13" i="3"/>
  <c r="Q13" i="3"/>
  <c r="J13" i="3"/>
  <c r="F13" i="3"/>
  <c r="A13" i="3"/>
  <c r="C13" i="3" s="1"/>
  <c r="AL12" i="3"/>
  <c r="AE12" i="3"/>
  <c r="X12" i="3"/>
  <c r="T12" i="3"/>
  <c r="Q12" i="3"/>
  <c r="J12" i="3"/>
  <c r="F12" i="3"/>
  <c r="A12" i="3"/>
  <c r="B12" i="3" s="1"/>
  <c r="AL11" i="3"/>
  <c r="AE11" i="3"/>
  <c r="X11" i="3"/>
  <c r="T11" i="3"/>
  <c r="Q11" i="3"/>
  <c r="J11" i="3"/>
  <c r="F11" i="3"/>
  <c r="A11" i="3"/>
  <c r="B11" i="3" s="1"/>
  <c r="AL10" i="3"/>
  <c r="AE10" i="3"/>
  <c r="X10" i="3"/>
  <c r="T10" i="3"/>
  <c r="Q10" i="3"/>
  <c r="J10" i="3"/>
  <c r="F10" i="3"/>
  <c r="A10" i="3"/>
  <c r="C10" i="3" s="1"/>
  <c r="AL9" i="3"/>
  <c r="AE9" i="3"/>
  <c r="AA9" i="3"/>
  <c r="X9" i="3"/>
  <c r="T9" i="3"/>
  <c r="Q9" i="3"/>
  <c r="J9" i="3"/>
  <c r="F9" i="3"/>
  <c r="A9" i="3"/>
  <c r="B9" i="3" s="1"/>
  <c r="AL8" i="3"/>
  <c r="AH8" i="3"/>
  <c r="AE8" i="3"/>
  <c r="AA8" i="3"/>
  <c r="X8" i="3"/>
  <c r="T8" i="3"/>
  <c r="Q8" i="3"/>
  <c r="M8" i="3"/>
  <c r="J8" i="3"/>
  <c r="F8" i="3"/>
  <c r="A8" i="3"/>
  <c r="B8" i="3" s="1"/>
  <c r="AL7" i="3"/>
  <c r="AH7" i="3"/>
  <c r="AE7" i="3"/>
  <c r="AA7" i="3"/>
  <c r="X7" i="3"/>
  <c r="T7" i="3"/>
  <c r="Q7" i="3"/>
  <c r="M7" i="3"/>
  <c r="J7" i="3"/>
  <c r="F7" i="3"/>
  <c r="A7" i="3"/>
  <c r="C7" i="3" s="1"/>
  <c r="AL6" i="3"/>
  <c r="AH6" i="3"/>
  <c r="AE6" i="3"/>
  <c r="AA6" i="3"/>
  <c r="X6" i="3"/>
  <c r="T6" i="3"/>
  <c r="Q6" i="3"/>
  <c r="M6" i="3"/>
  <c r="J6" i="3"/>
  <c r="F6" i="3"/>
  <c r="A6" i="3"/>
  <c r="B6" i="3" s="1"/>
  <c r="AL5" i="3"/>
  <c r="AH5" i="3"/>
  <c r="AE5" i="3"/>
  <c r="AA5" i="3"/>
  <c r="X5" i="3"/>
  <c r="T5" i="3"/>
  <c r="Q5" i="3"/>
  <c r="M5" i="3"/>
  <c r="J5" i="3"/>
  <c r="F5" i="3"/>
  <c r="A5" i="3"/>
  <c r="B5" i="3" s="1"/>
  <c r="AL4" i="3"/>
  <c r="AH4" i="3"/>
  <c r="AE4" i="3"/>
  <c r="AA4" i="3"/>
  <c r="X4" i="3"/>
  <c r="T4" i="3"/>
  <c r="Q4" i="3"/>
  <c r="M4" i="3"/>
  <c r="J4" i="3"/>
  <c r="F4" i="3"/>
  <c r="A4" i="3"/>
  <c r="C8" i="3" l="1"/>
  <c r="AJ8" i="3" s="1"/>
  <c r="C9" i="3"/>
  <c r="AD9" i="3" s="1"/>
  <c r="C17" i="3"/>
  <c r="AJ17" i="3" s="1"/>
  <c r="H13" i="4"/>
  <c r="C26" i="3"/>
  <c r="AJ26" i="3" s="1"/>
  <c r="C14" i="3"/>
  <c r="AJ14" i="3" s="1"/>
  <c r="X35" i="3"/>
  <c r="C33" i="3"/>
  <c r="AD33" i="3" s="1"/>
  <c r="C5" i="3"/>
  <c r="AJ5" i="3" s="1"/>
  <c r="C6" i="3"/>
  <c r="AD6" i="3" s="1"/>
  <c r="C30" i="3"/>
  <c r="AD30" i="3" s="1"/>
  <c r="H12" i="4"/>
  <c r="J35" i="3"/>
  <c r="C21" i="3"/>
  <c r="U21" i="3" s="1"/>
  <c r="Q35" i="3"/>
  <c r="C12" i="3"/>
  <c r="P12" i="3" s="1"/>
  <c r="C23" i="3"/>
  <c r="AJ23" i="3" s="1"/>
  <c r="C15" i="3"/>
  <c r="C18" i="3"/>
  <c r="AH18" i="3" s="1"/>
  <c r="C11" i="3"/>
  <c r="AJ11" i="3" s="1"/>
  <c r="C20" i="3"/>
  <c r="AJ20" i="3" s="1"/>
  <c r="AE35" i="3"/>
  <c r="C27" i="3"/>
  <c r="V27" i="3" s="1"/>
  <c r="C32" i="3"/>
  <c r="AJ32" i="3" s="1"/>
  <c r="AL35" i="3"/>
  <c r="C29" i="3"/>
  <c r="AJ29" i="3" s="1"/>
  <c r="C24" i="3"/>
  <c r="P24" i="3" s="1"/>
  <c r="H16" i="3"/>
  <c r="W16" i="3"/>
  <c r="G16" i="3"/>
  <c r="V16" i="3"/>
  <c r="AK16" i="3"/>
  <c r="U16" i="3"/>
  <c r="AJ16" i="3"/>
  <c r="T16" i="3"/>
  <c r="AI16" i="3"/>
  <c r="I16" i="3"/>
  <c r="AH16" i="3"/>
  <c r="P16" i="3"/>
  <c r="O16" i="3"/>
  <c r="AA16" i="3"/>
  <c r="AD16" i="3"/>
  <c r="N16" i="3"/>
  <c r="AC16" i="3"/>
  <c r="M16" i="3"/>
  <c r="AB16" i="3"/>
  <c r="H31" i="3"/>
  <c r="W31" i="3"/>
  <c r="G31" i="3"/>
  <c r="V31" i="3"/>
  <c r="F31" i="3"/>
  <c r="AA31" i="3"/>
  <c r="AK31" i="3"/>
  <c r="U31" i="3"/>
  <c r="AJ31" i="3"/>
  <c r="T31" i="3"/>
  <c r="AI31" i="3"/>
  <c r="AH31" i="3"/>
  <c r="P31" i="3"/>
  <c r="I31" i="3"/>
  <c r="O31" i="3"/>
  <c r="AD31" i="3"/>
  <c r="N31" i="3"/>
  <c r="AC31" i="3"/>
  <c r="M31" i="3"/>
  <c r="AB31" i="3"/>
  <c r="H13" i="3"/>
  <c r="W13" i="3"/>
  <c r="G13" i="3"/>
  <c r="V13" i="3"/>
  <c r="AK13" i="3"/>
  <c r="U13" i="3"/>
  <c r="AJ13" i="3"/>
  <c r="T13" i="3"/>
  <c r="AI13" i="3"/>
  <c r="AH13" i="3"/>
  <c r="P13" i="3"/>
  <c r="AA13" i="3"/>
  <c r="O13" i="3"/>
  <c r="I13" i="3"/>
  <c r="AD13" i="3"/>
  <c r="N13" i="3"/>
  <c r="AC13" i="3"/>
  <c r="M13" i="3"/>
  <c r="AB13" i="3"/>
  <c r="H7" i="3"/>
  <c r="W7" i="3"/>
  <c r="G7" i="3"/>
  <c r="V7" i="3"/>
  <c r="I7" i="3"/>
  <c r="AK7" i="3"/>
  <c r="U7" i="3"/>
  <c r="AJ7" i="3"/>
  <c r="AI7" i="3"/>
  <c r="P7" i="3"/>
  <c r="O7" i="3"/>
  <c r="AD7" i="3"/>
  <c r="N7" i="3"/>
  <c r="AC7" i="3"/>
  <c r="AB7" i="3"/>
  <c r="H25" i="3"/>
  <c r="W25" i="3"/>
  <c r="G25" i="3"/>
  <c r="V25" i="3"/>
  <c r="F25" i="3"/>
  <c r="AK25" i="3"/>
  <c r="U25" i="3"/>
  <c r="AJ25" i="3"/>
  <c r="T25" i="3"/>
  <c r="I25" i="3"/>
  <c r="AI25" i="3"/>
  <c r="AH25" i="3"/>
  <c r="P25" i="3"/>
  <c r="O25" i="3"/>
  <c r="AD25" i="3"/>
  <c r="N25" i="3"/>
  <c r="AA25" i="3"/>
  <c r="AC25" i="3"/>
  <c r="M25" i="3"/>
  <c r="AB25" i="3"/>
  <c r="H28" i="3"/>
  <c r="W28" i="3"/>
  <c r="G28" i="3"/>
  <c r="I28" i="3"/>
  <c r="V28" i="3"/>
  <c r="F28" i="3"/>
  <c r="AK28" i="3"/>
  <c r="U28" i="3"/>
  <c r="AJ28" i="3"/>
  <c r="T28" i="3"/>
  <c r="AA28" i="3"/>
  <c r="AI28" i="3"/>
  <c r="AH28" i="3"/>
  <c r="P28" i="3"/>
  <c r="O28" i="3"/>
  <c r="AD28" i="3"/>
  <c r="N28" i="3"/>
  <c r="AC28" i="3"/>
  <c r="M28" i="3"/>
  <c r="AB28" i="3"/>
  <c r="H22" i="3"/>
  <c r="W22" i="3"/>
  <c r="G22" i="3"/>
  <c r="AA22" i="3"/>
  <c r="V22" i="3"/>
  <c r="F22" i="3"/>
  <c r="AK22" i="3"/>
  <c r="U22" i="3"/>
  <c r="AJ22" i="3"/>
  <c r="T22" i="3"/>
  <c r="AI22" i="3"/>
  <c r="I22" i="3"/>
  <c r="AH22" i="3"/>
  <c r="P22" i="3"/>
  <c r="O22" i="3"/>
  <c r="AD22" i="3"/>
  <c r="N22" i="3"/>
  <c r="AC22" i="3"/>
  <c r="M22" i="3"/>
  <c r="AB22" i="3"/>
  <c r="H19" i="3"/>
  <c r="I19" i="3"/>
  <c r="W19" i="3"/>
  <c r="G19" i="3"/>
  <c r="V19" i="3"/>
  <c r="F19" i="3"/>
  <c r="AK19" i="3"/>
  <c r="U19" i="3"/>
  <c r="AA19" i="3"/>
  <c r="AJ19" i="3"/>
  <c r="T19" i="3"/>
  <c r="AI19" i="3"/>
  <c r="AH19" i="3"/>
  <c r="P19" i="3"/>
  <c r="O19" i="3"/>
  <c r="AD19" i="3"/>
  <c r="N19" i="3"/>
  <c r="AC19" i="3"/>
  <c r="M19" i="3"/>
  <c r="AB19" i="3"/>
  <c r="H10" i="3"/>
  <c r="W10" i="3"/>
  <c r="G10" i="3"/>
  <c r="V10" i="3"/>
  <c r="AK10" i="3"/>
  <c r="U10" i="3"/>
  <c r="AJ10" i="3"/>
  <c r="AI10" i="3"/>
  <c r="AH10" i="3"/>
  <c r="P10" i="3"/>
  <c r="AA10" i="3"/>
  <c r="O10" i="3"/>
  <c r="AD10" i="3"/>
  <c r="N10" i="3"/>
  <c r="AC10" i="3"/>
  <c r="M10" i="3"/>
  <c r="I10" i="3"/>
  <c r="AB10" i="3"/>
  <c r="H34" i="3"/>
  <c r="W34" i="3"/>
  <c r="G34" i="3"/>
  <c r="V34" i="3"/>
  <c r="AK34" i="3"/>
  <c r="U34" i="3"/>
  <c r="AJ34" i="3"/>
  <c r="AI34" i="3"/>
  <c r="P34" i="3"/>
  <c r="O34" i="3"/>
  <c r="I34" i="3"/>
  <c r="AD34" i="3"/>
  <c r="N34" i="3"/>
  <c r="AC34" i="3"/>
  <c r="AB34" i="3"/>
  <c r="V5" i="3"/>
  <c r="V8" i="3"/>
  <c r="P9" i="3"/>
  <c r="V14" i="3"/>
  <c r="P15" i="3"/>
  <c r="AH15" i="3"/>
  <c r="V17" i="3"/>
  <c r="F20" i="3"/>
  <c r="V20" i="3"/>
  <c r="AH21" i="3"/>
  <c r="F23" i="3"/>
  <c r="V23" i="3"/>
  <c r="AH24" i="3"/>
  <c r="F26" i="3"/>
  <c r="V26" i="3"/>
  <c r="F29" i="3"/>
  <c r="V29" i="3"/>
  <c r="P33" i="3"/>
  <c r="AH33" i="3"/>
  <c r="AK5" i="3"/>
  <c r="G5" i="3"/>
  <c r="W5" i="3"/>
  <c r="G8" i="3"/>
  <c r="W8" i="3"/>
  <c r="AI12" i="3"/>
  <c r="G14" i="3"/>
  <c r="W14" i="3"/>
  <c r="AI15" i="3"/>
  <c r="G17" i="3"/>
  <c r="W17" i="3"/>
  <c r="G23" i="3"/>
  <c r="W23" i="3"/>
  <c r="AI24" i="3"/>
  <c r="G26" i="3"/>
  <c r="W26" i="3"/>
  <c r="G29" i="3"/>
  <c r="W29" i="3"/>
  <c r="AK14" i="3"/>
  <c r="H5" i="3"/>
  <c r="H8" i="3"/>
  <c r="H14" i="3"/>
  <c r="T15" i="3"/>
  <c r="AJ15" i="3"/>
  <c r="H17" i="3"/>
  <c r="H23" i="3"/>
  <c r="T24" i="3"/>
  <c r="AJ24" i="3"/>
  <c r="H26" i="3"/>
  <c r="H29" i="3"/>
  <c r="AJ33" i="3"/>
  <c r="AK29" i="3"/>
  <c r="I5" i="3"/>
  <c r="I8" i="3"/>
  <c r="U12" i="3"/>
  <c r="I14" i="3"/>
  <c r="AA14" i="3"/>
  <c r="U15" i="3"/>
  <c r="AK15" i="3"/>
  <c r="I17" i="3"/>
  <c r="AA17" i="3"/>
  <c r="I23" i="3"/>
  <c r="AA23" i="3"/>
  <c r="U24" i="3"/>
  <c r="AK24" i="3"/>
  <c r="I26" i="3"/>
  <c r="AA26" i="3"/>
  <c r="I29" i="3"/>
  <c r="AA29" i="3"/>
  <c r="U33" i="3"/>
  <c r="H9" i="4"/>
  <c r="AK8" i="3"/>
  <c r="U14" i="3"/>
  <c r="U17" i="3"/>
  <c r="AK26" i="3"/>
  <c r="AB5" i="3"/>
  <c r="AB8" i="3"/>
  <c r="V9" i="3"/>
  <c r="V12" i="3"/>
  <c r="AB14" i="3"/>
  <c r="V15" i="3"/>
  <c r="AB17" i="3"/>
  <c r="V21" i="3"/>
  <c r="AB23" i="3"/>
  <c r="V24" i="3"/>
  <c r="AB26" i="3"/>
  <c r="AB29" i="3"/>
  <c r="V33" i="3"/>
  <c r="AK17" i="3"/>
  <c r="AC5" i="3"/>
  <c r="AC8" i="3"/>
  <c r="G12" i="3"/>
  <c r="W12" i="3"/>
  <c r="M14" i="3"/>
  <c r="AC14" i="3"/>
  <c r="G15" i="3"/>
  <c r="W15" i="3"/>
  <c r="M17" i="3"/>
  <c r="AC17" i="3"/>
  <c r="M23" i="3"/>
  <c r="AC23" i="3"/>
  <c r="G24" i="3"/>
  <c r="W24" i="3"/>
  <c r="M26" i="3"/>
  <c r="AC26" i="3"/>
  <c r="M29" i="3"/>
  <c r="AC29" i="3"/>
  <c r="G33" i="3"/>
  <c r="W33" i="3"/>
  <c r="H10" i="4"/>
  <c r="U26" i="3"/>
  <c r="B4" i="3"/>
  <c r="N5" i="3"/>
  <c r="AD5" i="3"/>
  <c r="B7" i="3"/>
  <c r="N8" i="3"/>
  <c r="AD8" i="3"/>
  <c r="B10" i="3"/>
  <c r="H12" i="3"/>
  <c r="B13" i="3"/>
  <c r="N14" i="3"/>
  <c r="AD14" i="3"/>
  <c r="H15" i="3"/>
  <c r="B16" i="3"/>
  <c r="N17" i="3"/>
  <c r="AD17" i="3"/>
  <c r="H18" i="3"/>
  <c r="B19" i="3"/>
  <c r="B22" i="3"/>
  <c r="N23" i="3"/>
  <c r="AD23" i="3"/>
  <c r="H24" i="3"/>
  <c r="B25" i="3"/>
  <c r="N26" i="3"/>
  <c r="AD26" i="3"/>
  <c r="B28" i="3"/>
  <c r="N29" i="3"/>
  <c r="AD29" i="3"/>
  <c r="B31" i="3"/>
  <c r="H33" i="3"/>
  <c r="B34" i="3"/>
  <c r="U5" i="3"/>
  <c r="U8" i="3"/>
  <c r="U23" i="3"/>
  <c r="C4" i="3"/>
  <c r="O5" i="3"/>
  <c r="O8" i="3"/>
  <c r="I9" i="3"/>
  <c r="I12" i="3"/>
  <c r="AA12" i="3"/>
  <c r="O14" i="3"/>
  <c r="I15" i="3"/>
  <c r="AA15" i="3"/>
  <c r="O17" i="3"/>
  <c r="O23" i="3"/>
  <c r="I24" i="3"/>
  <c r="AA24" i="3"/>
  <c r="O26" i="3"/>
  <c r="O29" i="3"/>
  <c r="AA33" i="3"/>
  <c r="H11" i="4"/>
  <c r="P5" i="3"/>
  <c r="P8" i="3"/>
  <c r="AB12" i="3"/>
  <c r="P14" i="3"/>
  <c r="AH14" i="3"/>
  <c r="AB15" i="3"/>
  <c r="P17" i="3"/>
  <c r="AH17" i="3"/>
  <c r="P23" i="3"/>
  <c r="AH23" i="3"/>
  <c r="AB24" i="3"/>
  <c r="P26" i="3"/>
  <c r="AH26" i="3"/>
  <c r="P29" i="3"/>
  <c r="AH29" i="3"/>
  <c r="AB33" i="3"/>
  <c r="AK23" i="3"/>
  <c r="U29" i="3"/>
  <c r="AI5" i="3"/>
  <c r="AI8" i="3"/>
  <c r="M12" i="3"/>
  <c r="AC12" i="3"/>
  <c r="AI14" i="3"/>
  <c r="M15" i="3"/>
  <c r="AC15" i="3"/>
  <c r="AI17" i="3"/>
  <c r="AI23" i="3"/>
  <c r="M24" i="3"/>
  <c r="AC24" i="3"/>
  <c r="AI26" i="3"/>
  <c r="AI29" i="3"/>
  <c r="M33" i="3"/>
  <c r="AC33" i="3"/>
  <c r="N9" i="3"/>
  <c r="N12" i="3"/>
  <c r="T14" i="3"/>
  <c r="N15" i="3"/>
  <c r="T17" i="3"/>
  <c r="T23" i="3"/>
  <c r="N24" i="3"/>
  <c r="T26" i="3"/>
  <c r="AK12" i="3" l="1"/>
  <c r="AJ12" i="3"/>
  <c r="AH32" i="3"/>
  <c r="I30" i="3"/>
  <c r="F27" i="3"/>
  <c r="AH12" i="3"/>
  <c r="AK20" i="3"/>
  <c r="P20" i="3"/>
  <c r="I33" i="3"/>
  <c r="N20" i="3"/>
  <c r="H9" i="3"/>
  <c r="F33" i="3"/>
  <c r="G20" i="3"/>
  <c r="P6" i="3"/>
  <c r="O9" i="3"/>
  <c r="AB30" i="3"/>
  <c r="AI33" i="3"/>
  <c r="P30" i="3"/>
  <c r="H6" i="3"/>
  <c r="N33" i="3"/>
  <c r="M30" i="3"/>
  <c r="F24" i="3"/>
  <c r="AK9" i="3"/>
  <c r="H20" i="3"/>
  <c r="AC9" i="3"/>
  <c r="W9" i="3"/>
  <c r="U9" i="3"/>
  <c r="M9" i="3"/>
  <c r="AB9" i="3"/>
  <c r="O20" i="3"/>
  <c r="U20" i="3"/>
  <c r="G9" i="3"/>
  <c r="AA20" i="3"/>
  <c r="AI9" i="3"/>
  <c r="AC20" i="3"/>
  <c r="AB20" i="3"/>
  <c r="I20" i="3"/>
  <c r="T20" i="3"/>
  <c r="M20" i="3"/>
  <c r="AK33" i="3"/>
  <c r="AH9" i="3"/>
  <c r="AI20" i="3"/>
  <c r="AH20" i="3"/>
  <c r="AD20" i="3"/>
  <c r="T33" i="3"/>
  <c r="AJ9" i="3"/>
  <c r="W20" i="3"/>
  <c r="AC27" i="3"/>
  <c r="AA27" i="3"/>
  <c r="H30" i="3"/>
  <c r="U27" i="3"/>
  <c r="AJ30" i="3"/>
  <c r="AK27" i="3"/>
  <c r="M27" i="3"/>
  <c r="AB27" i="3"/>
  <c r="I27" i="3"/>
  <c r="W30" i="3"/>
  <c r="T30" i="3"/>
  <c r="AH27" i="3"/>
  <c r="G30" i="3"/>
  <c r="P27" i="3"/>
  <c r="AJ27" i="3"/>
  <c r="H27" i="3"/>
  <c r="T27" i="3"/>
  <c r="W27" i="3"/>
  <c r="G27" i="3"/>
  <c r="V30" i="3"/>
  <c r="F30" i="3"/>
  <c r="AK30" i="3"/>
  <c r="AI27" i="3"/>
  <c r="N30" i="3"/>
  <c r="U30" i="3"/>
  <c r="AI30" i="3"/>
  <c r="N27" i="3"/>
  <c r="AC30" i="3"/>
  <c r="AA30" i="3"/>
  <c r="AH30" i="3"/>
  <c r="O30" i="3"/>
  <c r="F21" i="3"/>
  <c r="AC6" i="3"/>
  <c r="H21" i="3"/>
  <c r="AJ6" i="3"/>
  <c r="AI6" i="3"/>
  <c r="O33" i="3"/>
  <c r="P21" i="3"/>
  <c r="AK6" i="3"/>
  <c r="N6" i="3"/>
  <c r="AB6" i="3"/>
  <c r="I6" i="3"/>
  <c r="U6" i="3"/>
  <c r="W6" i="3"/>
  <c r="V6" i="3"/>
  <c r="AA21" i="3"/>
  <c r="G6" i="3"/>
  <c r="AB21" i="3"/>
  <c r="N32" i="3"/>
  <c r="F32" i="3"/>
  <c r="O6" i="3"/>
  <c r="I21" i="3"/>
  <c r="AB32" i="3"/>
  <c r="T32" i="3"/>
  <c r="O32" i="3"/>
  <c r="AK32" i="3"/>
  <c r="AC32" i="3"/>
  <c r="AJ21" i="3"/>
  <c r="M32" i="3"/>
  <c r="T21" i="3"/>
  <c r="AI21" i="3"/>
  <c r="AC21" i="3"/>
  <c r="W21" i="3"/>
  <c r="H32" i="3"/>
  <c r="W32" i="3"/>
  <c r="M21" i="3"/>
  <c r="G21" i="3"/>
  <c r="AA32" i="3"/>
  <c r="G32" i="3"/>
  <c r="AI32" i="3"/>
  <c r="U32" i="3"/>
  <c r="I32" i="3"/>
  <c r="AK21" i="3"/>
  <c r="N21" i="3"/>
  <c r="P32" i="3"/>
  <c r="AD32" i="3"/>
  <c r="V32" i="3"/>
  <c r="P11" i="3"/>
  <c r="H11" i="3"/>
  <c r="AB18" i="3"/>
  <c r="W11" i="3"/>
  <c r="AD15" i="3"/>
  <c r="O15" i="3"/>
  <c r="O11" i="3"/>
  <c r="AC11" i="3"/>
  <c r="V18" i="3"/>
  <c r="AA11" i="3"/>
  <c r="AJ18" i="3"/>
  <c r="G11" i="3"/>
  <c r="V11" i="3"/>
  <c r="AD24" i="3"/>
  <c r="O24" i="3"/>
  <c r="AI11" i="3"/>
  <c r="M11" i="3"/>
  <c r="F18" i="3"/>
  <c r="I11" i="3"/>
  <c r="T18" i="3"/>
  <c r="AD12" i="3"/>
  <c r="O12" i="3"/>
  <c r="AC18" i="3"/>
  <c r="W18" i="3"/>
  <c r="AK11" i="3"/>
  <c r="AK18" i="3"/>
  <c r="M18" i="3"/>
  <c r="G18" i="3"/>
  <c r="U11" i="3"/>
  <c r="U18" i="3"/>
  <c r="N18" i="3"/>
  <c r="AA18" i="3"/>
  <c r="AI18" i="3"/>
  <c r="AD21" i="3"/>
  <c r="O21" i="3"/>
  <c r="AD18" i="3"/>
  <c r="O18" i="3"/>
  <c r="I18" i="3"/>
  <c r="AD11" i="3"/>
  <c r="P18" i="3"/>
  <c r="AD27" i="3"/>
  <c r="O27" i="3"/>
  <c r="AH11" i="3"/>
  <c r="N11" i="3"/>
  <c r="AB11" i="3"/>
  <c r="H4" i="3"/>
  <c r="W4" i="3"/>
  <c r="G4" i="3"/>
  <c r="V4" i="3"/>
  <c r="AK4" i="3"/>
  <c r="U4" i="3"/>
  <c r="AJ4" i="3"/>
  <c r="AI4" i="3"/>
  <c r="P4" i="3"/>
  <c r="O4" i="3"/>
  <c r="AD4" i="3"/>
  <c r="N4" i="3"/>
  <c r="AC4" i="3"/>
  <c r="I4" i="3"/>
  <c r="AB4" i="3"/>
  <c r="R12" i="4"/>
  <c r="H19" i="4"/>
  <c r="R10" i="4"/>
  <c r="R11" i="4" s="1"/>
  <c r="R9" i="4"/>
  <c r="AH35" i="3" l="1"/>
  <c r="T35" i="3"/>
  <c r="F35" i="3"/>
  <c r="U35" i="3"/>
  <c r="G35" i="3"/>
  <c r="AA35" i="3"/>
  <c r="H35" i="3"/>
  <c r="M35" i="3"/>
  <c r="P35" i="3"/>
  <c r="AI35" i="3"/>
  <c r="AJ35" i="3"/>
  <c r="N35" i="3"/>
  <c r="O35" i="3"/>
  <c r="AK35" i="3"/>
  <c r="V35" i="3"/>
  <c r="AD35" i="3"/>
  <c r="AB35" i="3"/>
  <c r="I35" i="3"/>
  <c r="W35" i="3"/>
  <c r="AC35" i="3"/>
  <c r="R18" i="4"/>
  <c r="R19" i="4" s="1"/>
</calcChain>
</file>

<file path=xl/sharedStrings.xml><?xml version="1.0" encoding="utf-8"?>
<sst xmlns="http://schemas.openxmlformats.org/spreadsheetml/2006/main" count="174" uniqueCount="90">
  <si>
    <t>항목</t>
  </si>
  <si>
    <t>따이</t>
  </si>
  <si>
    <t>린팍</t>
  </si>
  <si>
    <t>추언</t>
  </si>
  <si>
    <t>키우</t>
  </si>
  <si>
    <t>황피선</t>
  </si>
  <si>
    <t>기본 정보</t>
  </si>
  <si>
    <t>입 사 일</t>
  </si>
  <si>
    <t>사원코드</t>
  </si>
  <si>
    <t>010</t>
  </si>
  <si>
    <t>009</t>
  </si>
  <si>
    <t>008</t>
  </si>
  <si>
    <t>부서명</t>
  </si>
  <si>
    <t>생산부</t>
  </si>
  <si>
    <t>건설현장</t>
  </si>
  <si>
    <t>성명</t>
  </si>
  <si>
    <t>트란 넉 추언</t>
  </si>
  <si>
    <t>다오 티엔 키우</t>
  </si>
  <si>
    <t>직급</t>
  </si>
  <si>
    <t>사원</t>
  </si>
  <si>
    <t>예금주</t>
  </si>
  <si>
    <t>계좌번호</t>
  </si>
  <si>
    <t>기본 시급</t>
  </si>
  <si>
    <t>연장/휴일 가산율</t>
  </si>
  <si>
    <t>휴일연장 가산율</t>
  </si>
  <si>
    <t>심야 가산율</t>
  </si>
  <si>
    <t>점심시간(시간)</t>
  </si>
  <si>
    <t>변동/고정 수당</t>
  </si>
  <si>
    <t>성과금</t>
  </si>
  <si>
    <t>식대</t>
  </si>
  <si>
    <t>자가운전보조비</t>
  </si>
  <si>
    <t>숙소료</t>
  </si>
  <si>
    <t>가불금</t>
  </si>
  <si>
    <t>날짜</t>
  </si>
  <si>
    <t>공휴일명</t>
  </si>
  <si>
    <t>신정</t>
  </si>
  <si>
    <t>삼일절</t>
  </si>
  <si>
    <t>근로자의날</t>
  </si>
  <si>
    <t>어린이날</t>
  </si>
  <si>
    <t>현충일</t>
  </si>
  <si>
    <t>광복절</t>
  </si>
  <si>
    <t>개천절</t>
  </si>
  <si>
    <t>한글날</t>
  </si>
  <si>
    <t>성탄절</t>
  </si>
  <si>
    <t>▶ 연도/월 입력</t>
  </si>
  <si>
    <t>연도:</t>
  </si>
  <si>
    <t>월:</t>
  </si>
  <si>
    <t>일</t>
  </si>
  <si>
    <t>요일</t>
  </si>
  <si>
    <t>휴일</t>
  </si>
  <si>
    <t>출근</t>
  </si>
  <si>
    <t>퇴근</t>
  </si>
  <si>
    <t>기본</t>
  </si>
  <si>
    <t>연장</t>
  </si>
  <si>
    <t>휴일연장</t>
  </si>
  <si>
    <t>심야</t>
  </si>
  <si>
    <t>합  계</t>
  </si>
  <si>
    <t>▶ 사원 이름:</t>
  </si>
  <si>
    <r>
      <rPr>
        <sz val="9"/>
        <color rgb="FF888888"/>
        <rFont val="맑은 고딕"/>
        <family val="3"/>
        <charset val="129"/>
      </rPr>
      <t>(</t>
    </r>
    <r>
      <rPr>
        <sz val="9"/>
        <color rgb="FF888888"/>
        <rFont val="Noto Sans CJK SC"/>
        <family val="2"/>
      </rPr>
      <t>예</t>
    </r>
    <r>
      <rPr>
        <sz val="9"/>
        <color rgb="FF888888"/>
        <rFont val="맑은 고딕"/>
        <family val="3"/>
        <charset val="129"/>
      </rPr>
      <t xml:space="preserve">: </t>
    </r>
    <r>
      <rPr>
        <sz val="9"/>
        <color rgb="FF888888"/>
        <rFont val="Noto Sans CJK SC"/>
        <family val="2"/>
      </rPr>
      <t>따이</t>
    </r>
    <r>
      <rPr>
        <sz val="9"/>
        <color rgb="FF888888"/>
        <rFont val="맑은 고딕"/>
        <family val="3"/>
        <charset val="129"/>
      </rPr>
      <t xml:space="preserve">, </t>
    </r>
    <r>
      <rPr>
        <sz val="9"/>
        <color rgb="FF888888"/>
        <rFont val="Noto Sans CJK SC"/>
        <family val="2"/>
      </rPr>
      <t>린팍</t>
    </r>
    <r>
      <rPr>
        <sz val="9"/>
        <color rgb="FF888888"/>
        <rFont val="맑은 고딕"/>
        <family val="3"/>
        <charset val="129"/>
      </rPr>
      <t xml:space="preserve">, </t>
    </r>
    <r>
      <rPr>
        <sz val="9"/>
        <color rgb="FF888888"/>
        <rFont val="Noto Sans CJK SC"/>
        <family val="2"/>
      </rPr>
      <t>추언</t>
    </r>
    <r>
      <rPr>
        <sz val="9"/>
        <color rgb="FF888888"/>
        <rFont val="맑은 고딕"/>
        <family val="3"/>
        <charset val="129"/>
      </rPr>
      <t xml:space="preserve">, </t>
    </r>
    <r>
      <rPr>
        <sz val="9"/>
        <color rgb="FF888888"/>
        <rFont val="Noto Sans CJK SC"/>
        <family val="2"/>
      </rPr>
      <t>키우</t>
    </r>
    <r>
      <rPr>
        <sz val="9"/>
        <color rgb="FF888888"/>
        <rFont val="맑은 고딕"/>
        <family val="3"/>
        <charset val="129"/>
      </rPr>
      <t xml:space="preserve">, </t>
    </r>
    <r>
      <rPr>
        <sz val="9"/>
        <color rgb="FF888888"/>
        <rFont val="Noto Sans CJK SC"/>
        <family val="2"/>
      </rPr>
      <t>황피선</t>
    </r>
    <r>
      <rPr>
        <sz val="9"/>
        <color rgb="FF888888"/>
        <rFont val="맑은 고딕"/>
        <family val="3"/>
        <charset val="129"/>
      </rPr>
      <t>)</t>
    </r>
  </si>
  <si>
    <r>
      <rPr>
        <b/>
        <sz val="14"/>
        <color rgb="FFFFFFFF"/>
        <rFont val="맑은 고딕"/>
        <family val="3"/>
        <charset val="129"/>
      </rPr>
      <t>2026</t>
    </r>
    <r>
      <rPr>
        <b/>
        <sz val="14"/>
        <color rgb="FFFFFFFF"/>
        <rFont val="Noto Sans CJK SC"/>
        <family val="2"/>
      </rPr>
      <t xml:space="preserve">년 </t>
    </r>
    <r>
      <rPr>
        <b/>
        <sz val="14"/>
        <color rgb="FFFFFFFF"/>
        <rFont val="맑은 고딕"/>
        <family val="3"/>
        <charset val="129"/>
      </rPr>
      <t>5</t>
    </r>
    <r>
      <rPr>
        <b/>
        <sz val="14"/>
        <color rgb="FFFFFFFF"/>
        <rFont val="Noto Sans CJK SC"/>
        <family val="2"/>
      </rPr>
      <t>월 급여명세서</t>
    </r>
  </si>
  <si>
    <t>사원코드 :</t>
  </si>
  <si>
    <t>이       름 :</t>
  </si>
  <si>
    <t>입  사  일 :</t>
  </si>
  <si>
    <t>부      서 :</t>
  </si>
  <si>
    <t>직       급 :</t>
  </si>
  <si>
    <t>지  급  일 :</t>
  </si>
  <si>
    <t>지  급  내  역</t>
  </si>
  <si>
    <t>공  제  내  역</t>
  </si>
  <si>
    <t>내   역</t>
  </si>
  <si>
    <t>금   액</t>
  </si>
  <si>
    <t>기본급</t>
  </si>
  <si>
    <t>국민연금</t>
  </si>
  <si>
    <t>연장수당</t>
  </si>
  <si>
    <t>건강보험</t>
  </si>
  <si>
    <t>휴일수당</t>
  </si>
  <si>
    <t>장기요양</t>
  </si>
  <si>
    <t>휴일연장수당</t>
  </si>
  <si>
    <t>고용보험</t>
  </si>
  <si>
    <t>심야수당</t>
  </si>
  <si>
    <t>소 득 세</t>
  </si>
  <si>
    <t>지방소득세</t>
  </si>
  <si>
    <t>식   대</t>
  </si>
  <si>
    <t>가 불 금</t>
  </si>
  <si>
    <t>공  제  액  계</t>
  </si>
  <si>
    <t>지  급  액  계</t>
  </si>
  <si>
    <t>실  지  급  액</t>
  </si>
  <si>
    <t>예 금 주 :</t>
  </si>
  <si>
    <t>계좌번호 :</t>
  </si>
  <si>
    <t>귀하의 노고에 감사드립니다.</t>
  </si>
  <si>
    <t>씨엠(CM)건설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</si>
</sst>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d"/>
    <numFmt numFmtId="178" formatCode="0.0"/>
  </numFmts>
  <fonts count="20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00000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3"/>
      <charset val="129"/>
    </font>
    <font>
      <sz val="11"/>
      <color theme="1"/>
      <name val="Noto Sans CJK SC"/>
      <family val="2"/>
      <charset val="1"/>
    </font>
    <font>
      <sz val="11"/>
      <color theme="1"/>
      <name val="맑은 고딕"/>
      <family val="2"/>
      <charset val="1"/>
    </font>
    <font>
      <b/>
      <sz val="11"/>
      <color rgb="FFFF0000"/>
      <name val="Noto Sans CJK SC"/>
      <family val="2"/>
      <charset val="1"/>
    </font>
    <font>
      <b/>
      <sz val="11"/>
      <color rgb="FF000000"/>
      <name val="Noto Sans CJK SC"/>
      <family val="2"/>
      <charset val="1"/>
    </font>
    <font>
      <b/>
      <sz val="13"/>
      <color rgb="FF0000FF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b/>
      <sz val="10"/>
      <color rgb="FF000000"/>
      <name val="맑은 고딕"/>
      <family val="3"/>
      <charset val="129"/>
    </font>
    <font>
      <sz val="9"/>
      <color rgb="FF888888"/>
      <name val="맑은 고딕"/>
      <family val="3"/>
      <charset val="129"/>
    </font>
    <font>
      <sz val="9"/>
      <color rgb="FF888888"/>
      <name val="Noto Sans CJK SC"/>
      <family val="2"/>
    </font>
    <font>
      <b/>
      <sz val="14"/>
      <color rgb="FFFFFFFF"/>
      <name val="맑은 고딕"/>
      <family val="3"/>
      <charset val="129"/>
    </font>
    <font>
      <b/>
      <sz val="14"/>
      <color rgb="FFFFFFFF"/>
      <name val="Noto Sans CJK SC"/>
      <family val="2"/>
    </font>
    <font>
      <b/>
      <sz val="10"/>
      <color rgb="FFFFFFFF"/>
      <name val="맑은 고딕"/>
      <family val="3"/>
      <charset val="129"/>
    </font>
    <font>
      <i/>
      <sz val="10"/>
      <name val="Noto Sans CJK SC"/>
      <family val="2"/>
      <charset val="1"/>
    </font>
    <font>
      <b/>
      <sz val="12"/>
      <color rgb="FF000000"/>
      <name val="Noto Sans CJK SC"/>
      <family val="2"/>
      <charset val="1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D9E1F2"/>
        <bgColor rgb="FFE0E8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3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7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3" fillId="0" borderId="1" xfId="0" applyFont="1" applyBorder="1" applyAlignment="1">
      <alignment vertical="center" wrapText="1"/>
    </xf>
    <xf numFmtId="176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176" fontId="6" fillId="0" borderId="0" xfId="0" applyNumberFormat="1" applyFont="1"/>
    <xf numFmtId="0" fontId="8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78" fontId="11" fillId="3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11" fillId="3" borderId="2" xfId="0" applyNumberFormat="1" applyFont="1" applyFill="1" applyBorder="1" applyAlignment="1">
      <alignment horizontal="right" vertical="center"/>
    </xf>
    <xf numFmtId="0" fontId="1" fillId="6" borderId="2" xfId="0" applyFont="1" applyFill="1" applyBorder="1" applyAlignment="1">
      <alignment horizontal="center" vertical="center" wrapText="1"/>
    </xf>
    <xf numFmtId="3" fontId="16" fillId="6" borderId="2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1">
    <cellStyle name="표준" xfId="0" builtinId="0"/>
  </cellStyles>
  <dxfs count="4">
    <dxf>
      <fill>
        <patternFill>
          <bgColor rgb="FFD9E1F2"/>
        </patternFill>
      </fill>
    </dxf>
    <dxf>
      <fill>
        <patternFill>
          <bgColor rgb="FFFFE0E0"/>
        </patternFill>
      </fill>
    </dxf>
    <dxf>
      <fill>
        <patternFill>
          <bgColor rgb="FFE0E8FF"/>
        </patternFill>
      </fill>
    </dxf>
    <dxf>
      <fill>
        <patternFill>
          <bgColor rgb="FFFFF0D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0D0"/>
      <rgbColor rgb="FFE0E8FF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workbookViewId="0"/>
  </sheetViews>
  <sheetFormatPr defaultColWidth="8.7109375" defaultRowHeight="15"/>
  <cols>
    <col min="1" max="6" width="18" customWidth="1"/>
  </cols>
  <sheetData>
    <row r="1" spans="1:6" ht="21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ht="18" customHeight="1">
      <c r="A2" s="16" t="s">
        <v>6</v>
      </c>
      <c r="B2" s="17"/>
      <c r="C2" s="17"/>
      <c r="D2" s="17"/>
      <c r="E2" s="17"/>
      <c r="F2" s="17"/>
    </row>
    <row r="3" spans="1:6" ht="18" customHeight="1">
      <c r="A3" s="18" t="s">
        <v>7</v>
      </c>
      <c r="B3" s="19">
        <v>46127</v>
      </c>
      <c r="C3" s="19">
        <v>46119</v>
      </c>
      <c r="D3" s="19">
        <v>46122</v>
      </c>
      <c r="E3" s="19">
        <v>46119</v>
      </c>
      <c r="F3" s="19">
        <v>46119</v>
      </c>
    </row>
    <row r="4" spans="1:6" ht="18" customHeight="1">
      <c r="A4" s="18" t="s">
        <v>8</v>
      </c>
      <c r="B4" s="20" t="s">
        <v>9</v>
      </c>
      <c r="C4" s="18"/>
      <c r="D4" s="20" t="s">
        <v>10</v>
      </c>
      <c r="E4" s="20" t="s">
        <v>11</v>
      </c>
      <c r="F4" s="18"/>
    </row>
    <row r="5" spans="1:6" ht="18" customHeight="1">
      <c r="A5" s="18" t="s">
        <v>12</v>
      </c>
      <c r="B5" s="18" t="s">
        <v>13</v>
      </c>
      <c r="C5" s="18" t="s">
        <v>13</v>
      </c>
      <c r="D5" s="18" t="s">
        <v>13</v>
      </c>
      <c r="E5" s="18" t="s">
        <v>13</v>
      </c>
      <c r="F5" s="18" t="s">
        <v>14</v>
      </c>
    </row>
    <row r="6" spans="1:6" ht="18" customHeight="1">
      <c r="A6" s="18" t="s">
        <v>15</v>
      </c>
      <c r="B6" s="18" t="s">
        <v>1</v>
      </c>
      <c r="C6" s="18" t="s">
        <v>2</v>
      </c>
      <c r="D6" s="18" t="s">
        <v>16</v>
      </c>
      <c r="E6" s="18" t="s">
        <v>17</v>
      </c>
      <c r="F6" s="18" t="s">
        <v>5</v>
      </c>
    </row>
    <row r="7" spans="1:6" ht="18" customHeight="1">
      <c r="A7" s="18" t="s">
        <v>18</v>
      </c>
      <c r="B7" s="18" t="s">
        <v>19</v>
      </c>
      <c r="C7" s="18" t="s">
        <v>19</v>
      </c>
      <c r="D7" s="18" t="s">
        <v>19</v>
      </c>
      <c r="E7" s="18" t="s">
        <v>19</v>
      </c>
      <c r="F7" s="18"/>
    </row>
    <row r="8" spans="1:6" ht="18" customHeight="1">
      <c r="A8" s="18" t="s">
        <v>20</v>
      </c>
      <c r="B8" s="18"/>
      <c r="C8" s="18"/>
      <c r="D8" s="18"/>
      <c r="E8" s="18"/>
      <c r="F8" s="18"/>
    </row>
    <row r="9" spans="1:6" ht="18" customHeight="1">
      <c r="A9" s="18" t="s">
        <v>21</v>
      </c>
      <c r="B9" s="18"/>
      <c r="C9" s="18"/>
      <c r="D9" s="18"/>
      <c r="E9" s="18"/>
      <c r="F9" s="18"/>
    </row>
    <row r="10" spans="1:6" ht="18" customHeight="1">
      <c r="A10" s="18" t="s">
        <v>22</v>
      </c>
      <c r="B10" s="18">
        <v>10320</v>
      </c>
      <c r="C10" s="18">
        <v>10320</v>
      </c>
      <c r="D10" s="18">
        <v>10320</v>
      </c>
      <c r="E10" s="18">
        <v>10320</v>
      </c>
      <c r="F10" s="18">
        <v>10320</v>
      </c>
    </row>
    <row r="11" spans="1:6" ht="18" customHeight="1">
      <c r="A11" s="18" t="s">
        <v>23</v>
      </c>
      <c r="B11" s="18">
        <v>1.5</v>
      </c>
      <c r="C11" s="18">
        <v>1.5</v>
      </c>
      <c r="D11" s="18">
        <v>1.5</v>
      </c>
      <c r="E11" s="18">
        <v>1.5</v>
      </c>
      <c r="F11" s="18">
        <v>1.5</v>
      </c>
    </row>
    <row r="12" spans="1:6" ht="18" customHeight="1">
      <c r="A12" s="18" t="s">
        <v>24</v>
      </c>
      <c r="B12" s="18">
        <v>2</v>
      </c>
      <c r="C12" s="18">
        <v>2</v>
      </c>
      <c r="D12" s="18">
        <v>2</v>
      </c>
      <c r="E12" s="18">
        <v>2</v>
      </c>
      <c r="F12" s="18">
        <v>2</v>
      </c>
    </row>
    <row r="13" spans="1:6" ht="18" customHeight="1">
      <c r="A13" s="18" t="s">
        <v>25</v>
      </c>
      <c r="B13" s="18">
        <v>0.5</v>
      </c>
      <c r="C13" s="18">
        <v>0.5</v>
      </c>
      <c r="D13" s="18">
        <v>0.5</v>
      </c>
      <c r="E13" s="18">
        <v>0.5</v>
      </c>
      <c r="F13" s="18">
        <v>0.5</v>
      </c>
    </row>
    <row r="14" spans="1:6" ht="18" customHeight="1">
      <c r="A14" s="18" t="s">
        <v>26</v>
      </c>
      <c r="B14" s="18">
        <v>1</v>
      </c>
      <c r="C14" s="18">
        <v>1</v>
      </c>
      <c r="D14" s="18">
        <v>1</v>
      </c>
      <c r="E14" s="18">
        <v>1</v>
      </c>
      <c r="F14" s="18">
        <v>1</v>
      </c>
    </row>
    <row r="15" spans="1:6" ht="18" customHeight="1">
      <c r="A15" s="16" t="s">
        <v>27</v>
      </c>
      <c r="B15" s="17"/>
      <c r="C15" s="17"/>
      <c r="D15" s="17"/>
      <c r="E15" s="17"/>
      <c r="F15" s="17"/>
    </row>
    <row r="16" spans="1:6" ht="18" customHeight="1">
      <c r="A16" s="18" t="s">
        <v>28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</row>
    <row r="17" spans="1:6" ht="18" customHeight="1">
      <c r="A17" s="18" t="s">
        <v>29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</row>
    <row r="18" spans="1:6" ht="18" customHeight="1">
      <c r="A18" s="18" t="s">
        <v>30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</row>
    <row r="19" spans="1:6" ht="18" customHeight="1">
      <c r="A19" s="18" t="s">
        <v>31</v>
      </c>
      <c r="B19" s="18">
        <v>100000</v>
      </c>
      <c r="C19" s="18">
        <v>100000</v>
      </c>
      <c r="D19" s="18">
        <v>100000</v>
      </c>
      <c r="E19" s="18">
        <v>100000</v>
      </c>
      <c r="F19" s="18">
        <v>0</v>
      </c>
    </row>
    <row r="20" spans="1:6" ht="18" customHeight="1">
      <c r="A20" s="18" t="s">
        <v>32</v>
      </c>
      <c r="B20" s="18">
        <v>120000</v>
      </c>
      <c r="C20" s="18">
        <v>120000</v>
      </c>
      <c r="D20" s="18">
        <v>120000</v>
      </c>
      <c r="E20" s="18">
        <v>120000</v>
      </c>
      <c r="F20" s="18">
        <v>0</v>
      </c>
    </row>
  </sheetData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zoomScaleNormal="100" workbookViewId="0"/>
  </sheetViews>
  <sheetFormatPr defaultColWidth="8.7109375" defaultRowHeight="15"/>
  <cols>
    <col min="1" max="1" width="14" customWidth="1"/>
    <col min="2" max="2" width="16" customWidth="1"/>
  </cols>
  <sheetData>
    <row r="1" spans="1:2" ht="15" customHeight="1">
      <c r="A1" s="21" t="s">
        <v>33</v>
      </c>
      <c r="B1" s="21" t="s">
        <v>34</v>
      </c>
    </row>
    <row r="2" spans="1:2" ht="15" customHeight="1">
      <c r="A2" s="22">
        <v>46023</v>
      </c>
      <c r="B2" s="21" t="s">
        <v>35</v>
      </c>
    </row>
    <row r="3" spans="1:2" ht="15" customHeight="1">
      <c r="A3" s="22">
        <v>46082</v>
      </c>
      <c r="B3" s="21" t="s">
        <v>36</v>
      </c>
    </row>
    <row r="4" spans="1:2" ht="15" customHeight="1">
      <c r="A4" s="22">
        <v>46143</v>
      </c>
      <c r="B4" s="21" t="s">
        <v>37</v>
      </c>
    </row>
    <row r="5" spans="1:2" ht="15" customHeight="1">
      <c r="A5" s="22">
        <v>46147</v>
      </c>
      <c r="B5" s="21" t="s">
        <v>38</v>
      </c>
    </row>
    <row r="6" spans="1:2" ht="15" customHeight="1">
      <c r="A6" s="22">
        <v>46179</v>
      </c>
      <c r="B6" s="21" t="s">
        <v>39</v>
      </c>
    </row>
    <row r="7" spans="1:2" ht="15" customHeight="1">
      <c r="A7" s="22">
        <v>46249</v>
      </c>
      <c r="B7" s="21" t="s">
        <v>40</v>
      </c>
    </row>
    <row r="8" spans="1:2" ht="15" customHeight="1">
      <c r="A8" s="22">
        <v>46298</v>
      </c>
      <c r="B8" s="21" t="s">
        <v>41</v>
      </c>
    </row>
    <row r="9" spans="1:2" ht="15" customHeight="1">
      <c r="A9" s="22">
        <v>46304</v>
      </c>
      <c r="B9" s="21" t="s">
        <v>42</v>
      </c>
    </row>
    <row r="10" spans="1:2" ht="15" customHeight="1">
      <c r="A10" s="22">
        <v>46381</v>
      </c>
      <c r="B10" s="21" t="s">
        <v>43</v>
      </c>
    </row>
    <row r="11" spans="1:2" ht="15" customHeight="1">
      <c r="A11" s="22">
        <v>46388</v>
      </c>
      <c r="B11" s="21" t="s">
        <v>35</v>
      </c>
    </row>
    <row r="12" spans="1:2" ht="15" customHeight="1">
      <c r="A12" s="22">
        <v>46447</v>
      </c>
      <c r="B12" s="21" t="s">
        <v>36</v>
      </c>
    </row>
    <row r="13" spans="1:2" ht="15" customHeight="1">
      <c r="A13" s="22">
        <v>46508</v>
      </c>
      <c r="B13" s="21" t="s">
        <v>37</v>
      </c>
    </row>
    <row r="14" spans="1:2" ht="15" customHeight="1">
      <c r="A14" s="22">
        <v>46512</v>
      </c>
      <c r="B14" s="21" t="s">
        <v>38</v>
      </c>
    </row>
    <row r="15" spans="1:2" ht="15" customHeight="1">
      <c r="A15" s="22">
        <v>46544</v>
      </c>
      <c r="B15" s="21" t="s">
        <v>39</v>
      </c>
    </row>
    <row r="16" spans="1:2" ht="15" customHeight="1">
      <c r="A16" s="22">
        <v>46614</v>
      </c>
      <c r="B16" s="21" t="s">
        <v>40</v>
      </c>
    </row>
    <row r="17" spans="1:2" ht="15" customHeight="1">
      <c r="A17" s="22">
        <v>46663</v>
      </c>
      <c r="B17" s="21" t="s">
        <v>41</v>
      </c>
    </row>
    <row r="18" spans="1:2" ht="15" customHeight="1">
      <c r="A18" s="22">
        <v>46669</v>
      </c>
      <c r="B18" s="21" t="s">
        <v>42</v>
      </c>
    </row>
    <row r="19" spans="1:2" ht="15" customHeight="1">
      <c r="A19" s="22">
        <v>46746</v>
      </c>
      <c r="B19" s="21" t="s">
        <v>43</v>
      </c>
    </row>
    <row r="20" spans="1:2" ht="15" customHeight="1">
      <c r="A20" s="22">
        <v>46753</v>
      </c>
      <c r="B20" s="21" t="s">
        <v>35</v>
      </c>
    </row>
    <row r="21" spans="1:2" ht="15" customHeight="1">
      <c r="A21" s="22">
        <v>46813</v>
      </c>
      <c r="B21" s="21" t="s">
        <v>36</v>
      </c>
    </row>
    <row r="22" spans="1:2" ht="15" customHeight="1">
      <c r="A22" s="22">
        <v>46874</v>
      </c>
      <c r="B22" s="21" t="s">
        <v>37</v>
      </c>
    </row>
    <row r="23" spans="1:2" ht="15" customHeight="1">
      <c r="A23" s="22">
        <v>46878</v>
      </c>
      <c r="B23" s="21" t="s">
        <v>38</v>
      </c>
    </row>
    <row r="24" spans="1:2" ht="15" customHeight="1">
      <c r="A24" s="22">
        <v>46910</v>
      </c>
      <c r="B24" s="21" t="s">
        <v>39</v>
      </c>
    </row>
    <row r="25" spans="1:2" ht="15" customHeight="1">
      <c r="A25" s="22">
        <v>46980</v>
      </c>
      <c r="B25" s="21" t="s">
        <v>40</v>
      </c>
    </row>
    <row r="26" spans="1:2" ht="15" customHeight="1">
      <c r="A26" s="22">
        <v>47029</v>
      </c>
      <c r="B26" s="21" t="s">
        <v>41</v>
      </c>
    </row>
    <row r="27" spans="1:2" ht="15" customHeight="1">
      <c r="A27" s="22">
        <v>47035</v>
      </c>
      <c r="B27" s="21" t="s">
        <v>42</v>
      </c>
    </row>
    <row r="28" spans="1:2" ht="15" customHeight="1">
      <c r="A28" s="22">
        <v>47112</v>
      </c>
      <c r="B28" s="21" t="s">
        <v>43</v>
      </c>
    </row>
    <row r="29" spans="1:2" ht="15" customHeight="1">
      <c r="A29" s="22">
        <v>47119</v>
      </c>
      <c r="B29" s="21" t="s">
        <v>35</v>
      </c>
    </row>
    <row r="30" spans="1:2" ht="15" customHeight="1">
      <c r="A30" s="22">
        <v>47178</v>
      </c>
      <c r="B30" s="21" t="s">
        <v>36</v>
      </c>
    </row>
    <row r="31" spans="1:2" ht="15" customHeight="1">
      <c r="A31" s="22">
        <v>47239</v>
      </c>
      <c r="B31" s="21" t="s">
        <v>37</v>
      </c>
    </row>
    <row r="32" spans="1:2" ht="15" customHeight="1">
      <c r="A32" s="22">
        <v>47243</v>
      </c>
      <c r="B32" s="21" t="s">
        <v>38</v>
      </c>
    </row>
    <row r="33" spans="1:2" ht="15" customHeight="1">
      <c r="A33" s="22">
        <v>47275</v>
      </c>
      <c r="B33" s="21" t="s">
        <v>39</v>
      </c>
    </row>
    <row r="34" spans="1:2" ht="15" customHeight="1">
      <c r="A34" s="22">
        <v>47345</v>
      </c>
      <c r="B34" s="21" t="s">
        <v>40</v>
      </c>
    </row>
    <row r="35" spans="1:2" ht="15" customHeight="1">
      <c r="A35" s="22">
        <v>47394</v>
      </c>
      <c r="B35" s="21" t="s">
        <v>41</v>
      </c>
    </row>
    <row r="36" spans="1:2" ht="15" customHeight="1">
      <c r="A36" s="22">
        <v>47400</v>
      </c>
      <c r="B36" s="21" t="s">
        <v>42</v>
      </c>
    </row>
    <row r="37" spans="1:2" ht="15" customHeight="1">
      <c r="A37" s="22">
        <v>47477</v>
      </c>
      <c r="B37" s="21" t="s">
        <v>43</v>
      </c>
    </row>
    <row r="38" spans="1:2" ht="15" customHeight="1">
      <c r="A38" s="22">
        <v>47484</v>
      </c>
      <c r="B38" s="21" t="s">
        <v>35</v>
      </c>
    </row>
    <row r="39" spans="1:2" ht="15" customHeight="1">
      <c r="A39" s="22">
        <v>47543</v>
      </c>
      <c r="B39" s="21" t="s">
        <v>36</v>
      </c>
    </row>
    <row r="40" spans="1:2" ht="15" customHeight="1">
      <c r="A40" s="22">
        <v>47604</v>
      </c>
      <c r="B40" s="21" t="s">
        <v>37</v>
      </c>
    </row>
    <row r="41" spans="1:2" ht="15" customHeight="1">
      <c r="A41" s="22">
        <v>47608</v>
      </c>
      <c r="B41" s="21" t="s">
        <v>38</v>
      </c>
    </row>
    <row r="42" spans="1:2" ht="15" customHeight="1">
      <c r="A42" s="22">
        <v>47640</v>
      </c>
      <c r="B42" s="21" t="s">
        <v>39</v>
      </c>
    </row>
    <row r="43" spans="1:2" ht="15" customHeight="1">
      <c r="A43" s="22">
        <v>47710</v>
      </c>
      <c r="B43" s="21" t="s">
        <v>40</v>
      </c>
    </row>
    <row r="44" spans="1:2" ht="15" customHeight="1">
      <c r="A44" s="22">
        <v>47759</v>
      </c>
      <c r="B44" s="21" t="s">
        <v>41</v>
      </c>
    </row>
    <row r="45" spans="1:2" ht="15" customHeight="1">
      <c r="A45" s="22">
        <v>47765</v>
      </c>
      <c r="B45" s="21" t="s">
        <v>42</v>
      </c>
    </row>
    <row r="46" spans="1:2" ht="15" customHeight="1">
      <c r="A46" s="22">
        <v>47842</v>
      </c>
      <c r="B46" s="21" t="s">
        <v>43</v>
      </c>
    </row>
  </sheetData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5"/>
  <sheetViews>
    <sheetView tabSelected="1" zoomScaleNormal="100" workbookViewId="0">
      <selection activeCell="D2" sqref="D2:J2"/>
    </sheetView>
  </sheetViews>
  <sheetFormatPr defaultColWidth="8.7109375" defaultRowHeight="15"/>
  <cols>
    <col min="1" max="1" width="6" customWidth="1"/>
    <col min="2" max="2" width="5" customWidth="1"/>
    <col min="3" max="5" width="7" customWidth="1"/>
    <col min="6" max="8" width="6" customWidth="1"/>
    <col min="9" max="9" width="7" customWidth="1"/>
    <col min="10" max="10" width="6" customWidth="1"/>
    <col min="11" max="12" width="7" customWidth="1"/>
    <col min="13" max="15" width="6" customWidth="1"/>
    <col min="16" max="16" width="7" customWidth="1"/>
    <col min="17" max="17" width="6" customWidth="1"/>
    <col min="18" max="19" width="7" customWidth="1"/>
    <col min="20" max="22" width="6" customWidth="1"/>
    <col min="23" max="23" width="7" customWidth="1"/>
    <col min="24" max="24" width="6" customWidth="1"/>
    <col min="25" max="26" width="7" customWidth="1"/>
    <col min="27" max="29" width="6" customWidth="1"/>
    <col min="30" max="30" width="7" customWidth="1"/>
    <col min="31" max="31" width="6" customWidth="1"/>
    <col min="32" max="33" width="7" customWidth="1"/>
    <col min="34" max="36" width="6" customWidth="1"/>
    <col min="37" max="37" width="7" customWidth="1"/>
    <col min="38" max="38" width="6" customWidth="1"/>
  </cols>
  <sheetData>
    <row r="1" spans="1:38" ht="25.5" customHeight="1">
      <c r="A1" s="14" t="s">
        <v>44</v>
      </c>
      <c r="B1" s="14"/>
      <c r="C1" s="14"/>
      <c r="D1" s="14"/>
      <c r="E1" s="23" t="s">
        <v>45</v>
      </c>
      <c r="F1" s="24">
        <v>26</v>
      </c>
      <c r="G1" s="23" t="s">
        <v>46</v>
      </c>
      <c r="H1" s="24">
        <v>4</v>
      </c>
    </row>
    <row r="2" spans="1:38" ht="19.5" customHeight="1">
      <c r="A2" s="13"/>
      <c r="B2" s="13"/>
      <c r="C2" s="13"/>
      <c r="D2" s="12" t="s">
        <v>1</v>
      </c>
      <c r="E2" s="12"/>
      <c r="F2" s="12"/>
      <c r="G2" s="12"/>
      <c r="H2" s="12"/>
      <c r="I2" s="12"/>
      <c r="J2" s="12"/>
      <c r="K2" s="11" t="s">
        <v>2</v>
      </c>
      <c r="L2" s="11"/>
      <c r="M2" s="11"/>
      <c r="N2" s="11"/>
      <c r="O2" s="11"/>
      <c r="P2" s="11"/>
      <c r="Q2" s="11"/>
      <c r="R2" s="12" t="s">
        <v>3</v>
      </c>
      <c r="S2" s="12"/>
      <c r="T2" s="12"/>
      <c r="U2" s="12"/>
      <c r="V2" s="12"/>
      <c r="W2" s="12"/>
      <c r="X2" s="12"/>
      <c r="Y2" s="11" t="s">
        <v>4</v>
      </c>
      <c r="Z2" s="11"/>
      <c r="AA2" s="11"/>
      <c r="AB2" s="11"/>
      <c r="AC2" s="11"/>
      <c r="AD2" s="11"/>
      <c r="AE2" s="11"/>
      <c r="AF2" s="12" t="s">
        <v>5</v>
      </c>
      <c r="AG2" s="12"/>
      <c r="AH2" s="12"/>
      <c r="AI2" s="12"/>
      <c r="AJ2" s="12"/>
      <c r="AK2" s="12"/>
      <c r="AL2" s="12"/>
    </row>
    <row r="3" spans="1:38" ht="18" customHeight="1">
      <c r="A3" s="25" t="s">
        <v>47</v>
      </c>
      <c r="B3" s="25" t="s">
        <v>48</v>
      </c>
      <c r="C3" s="25" t="s">
        <v>49</v>
      </c>
      <c r="D3" s="25" t="s">
        <v>50</v>
      </c>
      <c r="E3" s="25" t="s">
        <v>51</v>
      </c>
      <c r="F3" s="25" t="s">
        <v>52</v>
      </c>
      <c r="G3" s="25" t="s">
        <v>53</v>
      </c>
      <c r="H3" s="25" t="s">
        <v>49</v>
      </c>
      <c r="I3" s="25" t="s">
        <v>54</v>
      </c>
      <c r="J3" s="25" t="s">
        <v>55</v>
      </c>
      <c r="K3" s="25" t="s">
        <v>50</v>
      </c>
      <c r="L3" s="25" t="s">
        <v>51</v>
      </c>
      <c r="M3" s="25" t="s">
        <v>52</v>
      </c>
      <c r="N3" s="25" t="s">
        <v>53</v>
      </c>
      <c r="O3" s="25" t="s">
        <v>49</v>
      </c>
      <c r="P3" s="25" t="s">
        <v>54</v>
      </c>
      <c r="Q3" s="25" t="s">
        <v>55</v>
      </c>
      <c r="R3" s="25" t="s">
        <v>50</v>
      </c>
      <c r="S3" s="25" t="s">
        <v>51</v>
      </c>
      <c r="T3" s="25" t="s">
        <v>52</v>
      </c>
      <c r="U3" s="25" t="s">
        <v>53</v>
      </c>
      <c r="V3" s="25" t="s">
        <v>49</v>
      </c>
      <c r="W3" s="25" t="s">
        <v>54</v>
      </c>
      <c r="X3" s="25" t="s">
        <v>55</v>
      </c>
      <c r="Y3" s="25" t="s">
        <v>50</v>
      </c>
      <c r="Z3" s="25" t="s">
        <v>51</v>
      </c>
      <c r="AA3" s="25" t="s">
        <v>52</v>
      </c>
      <c r="AB3" s="25" t="s">
        <v>53</v>
      </c>
      <c r="AC3" s="25" t="s">
        <v>49</v>
      </c>
      <c r="AD3" s="25" t="s">
        <v>54</v>
      </c>
      <c r="AE3" s="25" t="s">
        <v>55</v>
      </c>
      <c r="AF3" s="25" t="s">
        <v>50</v>
      </c>
      <c r="AG3" s="25" t="s">
        <v>51</v>
      </c>
      <c r="AH3" s="25" t="s">
        <v>52</v>
      </c>
      <c r="AI3" s="25" t="s">
        <v>53</v>
      </c>
      <c r="AJ3" s="25" t="s">
        <v>49</v>
      </c>
      <c r="AK3" s="25" t="s">
        <v>54</v>
      </c>
      <c r="AL3" s="25" t="s">
        <v>55</v>
      </c>
    </row>
    <row r="4" spans="1:38" ht="15.75" customHeight="1">
      <c r="A4" s="26">
        <f>IFERROR(IF(DAY(DATE(2000+$F$1,$H$1+1,0))&lt;1,"",DATE(2000+$F$1,$H$1,1)),"")</f>
        <v>46113</v>
      </c>
      <c r="B4" s="27" t="str">
        <f t="shared" ref="B4:B34" si="0">IF(A4="","",CHOOSE(WEEKDAY(A4),"일","월","화","수","목","금","토"))</f>
        <v>수</v>
      </c>
      <c r="C4" s="27" t="str">
        <f>IF(A4="","",IF(OR(WEEKDAY(A4,2)&gt;5,COUNTIF('2.공휴일리스트'!$A$2:$A$1000,A4)&gt;0),"휴일","평일"))</f>
        <v>평일</v>
      </c>
      <c r="D4" s="28"/>
      <c r="E4" s="28"/>
      <c r="F4" s="27" t="str">
        <f>IFERROR(IF(OR(D4="",E4=""),"",IF($C4="평일",MIN(8,MAX(0,(E4-D4)*24-'1.설정(통합)'!$B$14)),0)),"")</f>
        <v/>
      </c>
      <c r="G4" s="27" t="str">
        <f>IFERROR(IF(OR(D4="",E4="",$C4="휴일"),"",IF((E4-D4)*24-'1.설정(통합)'!$B$14&gt;8,(E4-D4)*24-'1.설정(통합)'!$B$14-8,0)),"")</f>
        <v/>
      </c>
      <c r="H4" s="27" t="str">
        <f>IFERROR(IF(OR(D4="",E4="",$C4="평일"),"",MIN(8,MAX(0,(E4-D4)*24-'1.설정(통합)'!$B$14))),"")</f>
        <v/>
      </c>
      <c r="I4" s="27" t="str">
        <f>IFERROR(IF(OR(D4="",E4="",$C4="평일"),"",IF((E4-D4)*24-'1.설정(통합)'!$B$14&gt;8,(E4-D4)*24-'1.설정(통합)'!$B$14-8,0)),"")</f>
        <v/>
      </c>
      <c r="J4" s="27" t="str">
        <f t="shared" ref="J4:J34" si="1">IFERROR(IF(OR(D4="",E4=""),"",MAX(0,(MIN(E4,TIME(24,0,0)+TIME(6,0,0))-MAX(D4,TIME(22,0,0)))*24)+MAX(0,(MIN(E4,TIME(6,0,0))-MAX(D4,TIME(0,0,0)))*24)),"")</f>
        <v/>
      </c>
      <c r="K4" s="28"/>
      <c r="L4" s="28"/>
      <c r="M4" s="27" t="str">
        <f>IFERROR(IF(OR(K4="",L4=""),"",IF($C4="평일",MIN(8,MAX(0,(L4-K4)*24-'1.설정(통합)'!$C$14)),0)),"")</f>
        <v/>
      </c>
      <c r="N4" s="27" t="str">
        <f>IFERROR(IF(OR(K4="",L4="",$C4="휴일"),"",IF((L4-K4)*24-'1.설정(통합)'!$C$14&gt;8,(L4-K4)*24-'1.설정(통합)'!$C$14-8,0)),"")</f>
        <v/>
      </c>
      <c r="O4" s="27" t="str">
        <f>IFERROR(IF(OR(K4="",L4="",$C4="평일"),"",MIN(8,MAX(0,(L4-K4)*24-'1.설정(통합)'!$C$14))),"")</f>
        <v/>
      </c>
      <c r="P4" s="27" t="str">
        <f>IFERROR(IF(OR(K4="",L4="",$C4="평일"),"",IF((L4-K4)*24-'1.설정(통합)'!$C$14&gt;8,(L4-K4)*24-'1.설정(통합)'!$C$14-8,0)),"")</f>
        <v/>
      </c>
      <c r="Q4" s="27" t="str">
        <f t="shared" ref="Q4:Q34" si="2">IFERROR(IF(OR(K4="",L4=""),"",MAX(0,(MIN(L4,TIME(24,0,0)+TIME(6,0,0))-MAX(K4,TIME(22,0,0)))*24)+MAX(0,(MIN(L4,TIME(6,0,0))-MAX(K4,TIME(0,0,0)))*24)),"")</f>
        <v/>
      </c>
      <c r="R4" s="28"/>
      <c r="S4" s="28"/>
      <c r="T4" s="27" t="str">
        <f>IFERROR(IF(OR(R4="",S4=""),"",IF($C4="평일",MIN(8,MAX(0,(S4-R4)*24-'1.설정(통합)'!$D$14)),0)),"")</f>
        <v/>
      </c>
      <c r="U4" s="27" t="str">
        <f>IFERROR(IF(OR(R4="",S4="",$C4="휴일"),"",IF((S4-R4)*24-'1.설정(통합)'!$D$14&gt;8,(S4-R4)*24-'1.설정(통합)'!$D$14-8,0)),"")</f>
        <v/>
      </c>
      <c r="V4" s="27" t="str">
        <f>IFERROR(IF(OR(R4="",S4="",$C4="평일"),"",MIN(8,MAX(0,(S4-R4)*24-'1.설정(통합)'!$D$14))),"")</f>
        <v/>
      </c>
      <c r="W4" s="27" t="str">
        <f>IFERROR(IF(OR(R4="",S4="",$C4="평일"),"",IF((S4-R4)*24-'1.설정(통합)'!$D$14&gt;8,(S4-R4)*24-'1.설정(통합)'!$D$14-8,0)),"")</f>
        <v/>
      </c>
      <c r="X4" s="27" t="str">
        <f t="shared" ref="X4:X34" si="3">IFERROR(IF(OR(R4="",S4=""),"",MAX(0,(MIN(S4,TIME(24,0,0)+TIME(6,0,0))-MAX(R4,TIME(22,0,0)))*24)+MAX(0,(MIN(S4,TIME(6,0,0))-MAX(R4,TIME(0,0,0)))*24)),"")</f>
        <v/>
      </c>
      <c r="Y4" s="28"/>
      <c r="Z4" s="28"/>
      <c r="AA4" s="27" t="str">
        <f>IFERROR(IF(OR(Y4="",Z4=""),"",IF($C4="평일",MIN(8,MAX(0,(Z4-Y4)*24-'1.설정(통합)'!$E$14)),0)),"")</f>
        <v/>
      </c>
      <c r="AB4" s="27" t="str">
        <f>IFERROR(IF(OR(Y4="",Z4="",$C4="휴일"),"",IF((Z4-Y4)*24-'1.설정(통합)'!$E$14&gt;8,(Z4-Y4)*24-'1.설정(통합)'!$E$14-8,0)),"")</f>
        <v/>
      </c>
      <c r="AC4" s="27" t="str">
        <f>IFERROR(IF(OR(Y4="",Z4="",$C4="평일"),"",MIN(8,MAX(0,(Z4-Y4)*24-'1.설정(통합)'!$E$14))),"")</f>
        <v/>
      </c>
      <c r="AD4" s="27" t="str">
        <f>IFERROR(IF(OR(Y4="",Z4="",$C4="평일"),"",IF((Z4-Y4)*24-'1.설정(통합)'!$E$14&gt;8,(Z4-Y4)*24-'1.설정(통합)'!$E$14-8,0)),"")</f>
        <v/>
      </c>
      <c r="AE4" s="27" t="str">
        <f t="shared" ref="AE4:AE34" si="4">IFERROR(IF(OR(Y4="",Z4=""),"",MAX(0,(MIN(Z4,TIME(24,0,0)+TIME(6,0,0))-MAX(Y4,TIME(22,0,0)))*24)+MAX(0,(MIN(Z4,TIME(6,0,0))-MAX(Y4,TIME(0,0,0)))*24)),"")</f>
        <v/>
      </c>
      <c r="AF4" s="28"/>
      <c r="AG4" s="28"/>
      <c r="AH4" s="27" t="str">
        <f>IFERROR(IF(OR(AF4="",AG4=""),"",IF($C4="평일",MIN(8,MAX(0,(AG4-AF4)*24-'1.설정(통합)'!$F$14)),0)),"")</f>
        <v/>
      </c>
      <c r="AI4" s="27" t="str">
        <f>IFERROR(IF(OR(AF4="",AG4="",$C4="휴일"),"",IF((AG4-AF4)*24-'1.설정(통합)'!$F$14&gt;8,(AG4-AF4)*24-'1.설정(통합)'!$F$14-8,0)),"")</f>
        <v/>
      </c>
      <c r="AJ4" s="27" t="str">
        <f>IFERROR(IF(OR(AF4="",AG4="",$C4="평일"),"",MIN(8,MAX(0,(AG4-AF4)*24-'1.설정(통합)'!$F$14))),"")</f>
        <v/>
      </c>
      <c r="AK4" s="27" t="str">
        <f>IFERROR(IF(OR(AF4="",AG4="",$C4="평일"),"",IF((AG4-AF4)*24-'1.설정(통합)'!$F$14&gt;8,(AG4-AF4)*24-'1.설정(통합)'!$F$14-8,0)),"")</f>
        <v/>
      </c>
      <c r="AL4" s="27" t="str">
        <f t="shared" ref="AL4:AL34" si="5">IFERROR(IF(OR(AF4="",AG4=""),"",MAX(0,(MIN(AG4,TIME(24,0,0)+TIME(6,0,0))-MAX(AF4,TIME(22,0,0)))*24)+MAX(0,(MIN(AG4,TIME(6,0,0))-MAX(AF4,TIME(0,0,0)))*24)),"")</f>
        <v/>
      </c>
    </row>
    <row r="5" spans="1:38" ht="15.75" customHeight="1">
      <c r="A5" s="26">
        <f>IFERROR(IF(DAY(DATE(2000+$F$1,$H$1+1,0))&lt;2,"",DATE(2000+$F$1,$H$1,2)),"")</f>
        <v>46114</v>
      </c>
      <c r="B5" s="27" t="str">
        <f t="shared" si="0"/>
        <v>목</v>
      </c>
      <c r="C5" s="27" t="str">
        <f>IF(A5="","",IF(OR(WEEKDAY(A5,2)&gt;5,COUNTIF('2.공휴일리스트'!$A$2:$A$1000,A5)&gt;0),"휴일","평일"))</f>
        <v>평일</v>
      </c>
      <c r="D5" s="28"/>
      <c r="E5" s="28"/>
      <c r="F5" s="27" t="str">
        <f>IFERROR(IF(OR(D5="",E5=""),"",IF($C5="평일",MIN(8,MAX(0,(E5-D5)*24-'1.설정(통합)'!$B$14)),0)),"")</f>
        <v/>
      </c>
      <c r="G5" s="27" t="str">
        <f>IFERROR(IF(OR(D5="",E5="",$C5="휴일"),"",IF((E5-D5)*24-'1.설정(통합)'!$B$14&gt;8,(E5-D5)*24-'1.설정(통합)'!$B$14-8,0)),"")</f>
        <v/>
      </c>
      <c r="H5" s="27" t="str">
        <f>IFERROR(IF(OR(D5="",E5="",$C5="평일"),"",MIN(8,MAX(0,(E5-D5)*24-'1.설정(통합)'!$B$14))),"")</f>
        <v/>
      </c>
      <c r="I5" s="27" t="str">
        <f>IFERROR(IF(OR(D5="",E5="",$C5="평일"),"",IF((E5-D5)*24-'1.설정(통합)'!$B$14&gt;8,(E5-D5)*24-'1.설정(통합)'!$B$14-8,0)),"")</f>
        <v/>
      </c>
      <c r="J5" s="27" t="str">
        <f t="shared" si="1"/>
        <v/>
      </c>
      <c r="K5" s="28"/>
      <c r="L5" s="28"/>
      <c r="M5" s="27" t="str">
        <f>IFERROR(IF(OR(K5="",L5=""),"",IF($C5="평일",MIN(8,MAX(0,(L5-K5)*24-'1.설정(통합)'!$C$14)),0)),"")</f>
        <v/>
      </c>
      <c r="N5" s="27" t="str">
        <f>IFERROR(IF(OR(K5="",L5="",$C5="휴일"),"",IF((L5-K5)*24-'1.설정(통합)'!$C$14&gt;8,(L5-K5)*24-'1.설정(통합)'!$C$14-8,0)),"")</f>
        <v/>
      </c>
      <c r="O5" s="27" t="str">
        <f>IFERROR(IF(OR(K5="",L5="",$C5="평일"),"",MIN(8,MAX(0,(L5-K5)*24-'1.설정(통합)'!$C$14))),"")</f>
        <v/>
      </c>
      <c r="P5" s="27" t="str">
        <f>IFERROR(IF(OR(K5="",L5="",$C5="평일"),"",IF((L5-K5)*24-'1.설정(통합)'!$C$14&gt;8,(L5-K5)*24-'1.설정(통합)'!$C$14-8,0)),"")</f>
        <v/>
      </c>
      <c r="Q5" s="27" t="str">
        <f t="shared" si="2"/>
        <v/>
      </c>
      <c r="R5" s="28"/>
      <c r="S5" s="28"/>
      <c r="T5" s="27" t="str">
        <f>IFERROR(IF(OR(R5="",S5=""),"",IF($C5="평일",MIN(8,MAX(0,(S5-R5)*24-'1.설정(통합)'!$D$14)),0)),"")</f>
        <v/>
      </c>
      <c r="U5" s="27" t="str">
        <f>IFERROR(IF(OR(R5="",S5="",$C5="휴일"),"",IF((S5-R5)*24-'1.설정(통합)'!$D$14&gt;8,(S5-R5)*24-'1.설정(통합)'!$D$14-8,0)),"")</f>
        <v/>
      </c>
      <c r="V5" s="27" t="str">
        <f>IFERROR(IF(OR(R5="",S5="",$C5="평일"),"",MIN(8,MAX(0,(S5-R5)*24-'1.설정(통합)'!$D$14))),"")</f>
        <v/>
      </c>
      <c r="W5" s="27" t="str">
        <f>IFERROR(IF(OR(R5="",S5="",$C5="평일"),"",IF((S5-R5)*24-'1.설정(통합)'!$D$14&gt;8,(S5-R5)*24-'1.설정(통합)'!$D$14-8,0)),"")</f>
        <v/>
      </c>
      <c r="X5" s="27" t="str">
        <f t="shared" si="3"/>
        <v/>
      </c>
      <c r="Y5" s="28"/>
      <c r="Z5" s="28"/>
      <c r="AA5" s="27" t="str">
        <f>IFERROR(IF(OR(Y5="",Z5=""),"",IF($C5="평일",MIN(8,MAX(0,(Z5-Y5)*24-'1.설정(통합)'!$E$14)),0)),"")</f>
        <v/>
      </c>
      <c r="AB5" s="27" t="str">
        <f>IFERROR(IF(OR(Y5="",Z5="",$C5="휴일"),"",IF((Z5-Y5)*24-'1.설정(통합)'!$E$14&gt;8,(Z5-Y5)*24-'1.설정(통합)'!$E$14-8,0)),"")</f>
        <v/>
      </c>
      <c r="AC5" s="27" t="str">
        <f>IFERROR(IF(OR(Y5="",Z5="",$C5="평일"),"",MIN(8,MAX(0,(Z5-Y5)*24-'1.설정(통합)'!$E$14))),"")</f>
        <v/>
      </c>
      <c r="AD5" s="27" t="str">
        <f>IFERROR(IF(OR(Y5="",Z5="",$C5="평일"),"",IF((Z5-Y5)*24-'1.설정(통합)'!$E$14&gt;8,(Z5-Y5)*24-'1.설정(통합)'!$E$14-8,0)),"")</f>
        <v/>
      </c>
      <c r="AE5" s="27" t="str">
        <f t="shared" si="4"/>
        <v/>
      </c>
      <c r="AF5" s="28"/>
      <c r="AG5" s="28"/>
      <c r="AH5" s="27" t="str">
        <f>IFERROR(IF(OR(AF5="",AG5=""),"",IF($C5="평일",MIN(8,MAX(0,(AG5-AF5)*24-'1.설정(통합)'!$F$14)),0)),"")</f>
        <v/>
      </c>
      <c r="AI5" s="27" t="str">
        <f>IFERROR(IF(OR(AF5="",AG5="",$C5="휴일"),"",IF((AG5-AF5)*24-'1.설정(통합)'!$F$14&gt;8,(AG5-AF5)*24-'1.설정(통합)'!$F$14-8,0)),"")</f>
        <v/>
      </c>
      <c r="AJ5" s="27" t="str">
        <f>IFERROR(IF(OR(AF5="",AG5="",$C5="평일"),"",MIN(8,MAX(0,(AG5-AF5)*24-'1.설정(통합)'!$F$14))),"")</f>
        <v/>
      </c>
      <c r="AK5" s="27" t="str">
        <f>IFERROR(IF(OR(AF5="",AG5="",$C5="평일"),"",IF((AG5-AF5)*24-'1.설정(통합)'!$F$14&gt;8,(AG5-AF5)*24-'1.설정(통합)'!$F$14-8,0)),"")</f>
        <v/>
      </c>
      <c r="AL5" s="27" t="str">
        <f t="shared" si="5"/>
        <v/>
      </c>
    </row>
    <row r="6" spans="1:38" ht="15.75" customHeight="1">
      <c r="A6" s="26">
        <f>IFERROR(IF(DAY(DATE(2000+$F$1,$H$1+1,0))&lt;3,"",DATE(2000+$F$1,$H$1,3)),"")</f>
        <v>46115</v>
      </c>
      <c r="B6" s="27" t="str">
        <f t="shared" si="0"/>
        <v>금</v>
      </c>
      <c r="C6" s="27" t="str">
        <f>IF(A6="","",IF(OR(WEEKDAY(A6,2)&gt;5,COUNTIF('2.공휴일리스트'!$A$2:$A$1000,A6)&gt;0),"휴일","평일"))</f>
        <v>평일</v>
      </c>
      <c r="D6" s="28"/>
      <c r="E6" s="28"/>
      <c r="F6" s="27" t="str">
        <f>IFERROR(IF(OR(D6="",E6=""),"",IF($C6="평일",MIN(8,MAX(0,(E6-D6)*24-'1.설정(통합)'!$B$14)),0)),"")</f>
        <v/>
      </c>
      <c r="G6" s="27" t="str">
        <f>IFERROR(IF(OR(D6="",E6="",$C6="휴일"),"",IF((E6-D6)*24-'1.설정(통합)'!$B$14&gt;8,(E6-D6)*24-'1.설정(통합)'!$B$14-8,0)),"")</f>
        <v/>
      </c>
      <c r="H6" s="27" t="str">
        <f>IFERROR(IF(OR(D6="",E6="",$C6="평일"),"",MIN(8,MAX(0,(E6-D6)*24-'1.설정(통합)'!$B$14))),"")</f>
        <v/>
      </c>
      <c r="I6" s="27" t="str">
        <f>IFERROR(IF(OR(D6="",E6="",$C6="평일"),"",IF((E6-D6)*24-'1.설정(통합)'!$B$14&gt;8,(E6-D6)*24-'1.설정(통합)'!$B$14-8,0)),"")</f>
        <v/>
      </c>
      <c r="J6" s="27" t="str">
        <f t="shared" si="1"/>
        <v/>
      </c>
      <c r="K6" s="28"/>
      <c r="L6" s="28"/>
      <c r="M6" s="27" t="str">
        <f>IFERROR(IF(OR(K6="",L6=""),"",IF($C6="평일",MIN(8,MAX(0,(L6-K6)*24-'1.설정(통합)'!$C$14)),0)),"")</f>
        <v/>
      </c>
      <c r="N6" s="27" t="str">
        <f>IFERROR(IF(OR(K6="",L6="",$C6="휴일"),"",IF((L6-K6)*24-'1.설정(통합)'!$C$14&gt;8,(L6-K6)*24-'1.설정(통합)'!$C$14-8,0)),"")</f>
        <v/>
      </c>
      <c r="O6" s="27" t="str">
        <f>IFERROR(IF(OR(K6="",L6="",$C6="평일"),"",MIN(8,MAX(0,(L6-K6)*24-'1.설정(통합)'!$C$14))),"")</f>
        <v/>
      </c>
      <c r="P6" s="27" t="str">
        <f>IFERROR(IF(OR(K6="",L6="",$C6="평일"),"",IF((L6-K6)*24-'1.설정(통합)'!$C$14&gt;8,(L6-K6)*24-'1.설정(통합)'!$C$14-8,0)),"")</f>
        <v/>
      </c>
      <c r="Q6" s="27" t="str">
        <f t="shared" si="2"/>
        <v/>
      </c>
      <c r="R6" s="28"/>
      <c r="S6" s="28"/>
      <c r="T6" s="27" t="str">
        <f>IFERROR(IF(OR(R6="",S6=""),"",IF($C6="평일",MIN(8,MAX(0,(S6-R6)*24-'1.설정(통합)'!$D$14)),0)),"")</f>
        <v/>
      </c>
      <c r="U6" s="27" t="str">
        <f>IFERROR(IF(OR(R6="",S6="",$C6="휴일"),"",IF((S6-R6)*24-'1.설정(통합)'!$D$14&gt;8,(S6-R6)*24-'1.설정(통합)'!$D$14-8,0)),"")</f>
        <v/>
      </c>
      <c r="V6" s="27" t="str">
        <f>IFERROR(IF(OR(R6="",S6="",$C6="평일"),"",MIN(8,MAX(0,(S6-R6)*24-'1.설정(통합)'!$D$14))),"")</f>
        <v/>
      </c>
      <c r="W6" s="27" t="str">
        <f>IFERROR(IF(OR(R6="",S6="",$C6="평일"),"",IF((S6-R6)*24-'1.설정(통합)'!$D$14&gt;8,(S6-R6)*24-'1.설정(통합)'!$D$14-8,0)),"")</f>
        <v/>
      </c>
      <c r="X6" s="27" t="str">
        <f t="shared" si="3"/>
        <v/>
      </c>
      <c r="Y6" s="28"/>
      <c r="Z6" s="28"/>
      <c r="AA6" s="27" t="str">
        <f>IFERROR(IF(OR(Y6="",Z6=""),"",IF($C6="평일",MIN(8,MAX(0,(Z6-Y6)*24-'1.설정(통합)'!$E$14)),0)),"")</f>
        <v/>
      </c>
      <c r="AB6" s="27" t="str">
        <f>IFERROR(IF(OR(Y6="",Z6="",$C6="휴일"),"",IF((Z6-Y6)*24-'1.설정(통합)'!$E$14&gt;8,(Z6-Y6)*24-'1.설정(통합)'!$E$14-8,0)),"")</f>
        <v/>
      </c>
      <c r="AC6" s="27" t="str">
        <f>IFERROR(IF(OR(Y6="",Z6="",$C6="평일"),"",MIN(8,MAX(0,(Z6-Y6)*24-'1.설정(통합)'!$E$14))),"")</f>
        <v/>
      </c>
      <c r="AD6" s="27" t="str">
        <f>IFERROR(IF(OR(Y6="",Z6="",$C6="평일"),"",IF((Z6-Y6)*24-'1.설정(통합)'!$E$14&gt;8,(Z6-Y6)*24-'1.설정(통합)'!$E$14-8,0)),"")</f>
        <v/>
      </c>
      <c r="AE6" s="27" t="str">
        <f t="shared" si="4"/>
        <v/>
      </c>
      <c r="AF6" s="28"/>
      <c r="AG6" s="28"/>
      <c r="AH6" s="27" t="str">
        <f>IFERROR(IF(OR(AF6="",AG6=""),"",IF($C6="평일",MIN(8,MAX(0,(AG6-AF6)*24-'1.설정(통합)'!$F$14)),0)),"")</f>
        <v/>
      </c>
      <c r="AI6" s="27" t="str">
        <f>IFERROR(IF(OR(AF6="",AG6="",$C6="휴일"),"",IF((AG6-AF6)*24-'1.설정(통합)'!$F$14&gt;8,(AG6-AF6)*24-'1.설정(통합)'!$F$14-8,0)),"")</f>
        <v/>
      </c>
      <c r="AJ6" s="27" t="str">
        <f>IFERROR(IF(OR(AF6="",AG6="",$C6="평일"),"",MIN(8,MAX(0,(AG6-AF6)*24-'1.설정(통합)'!$F$14))),"")</f>
        <v/>
      </c>
      <c r="AK6" s="27" t="str">
        <f>IFERROR(IF(OR(AF6="",AG6="",$C6="평일"),"",IF((AG6-AF6)*24-'1.설정(통합)'!$F$14&gt;8,(AG6-AF6)*24-'1.설정(통합)'!$F$14-8,0)),"")</f>
        <v/>
      </c>
      <c r="AL6" s="27" t="str">
        <f t="shared" si="5"/>
        <v/>
      </c>
    </row>
    <row r="7" spans="1:38" ht="15.75" customHeight="1">
      <c r="A7" s="26">
        <f>IFERROR(IF(DAY(DATE(2000+$F$1,$H$1+1,0))&lt;4,"",DATE(2000+$F$1,$H$1,4)),"")</f>
        <v>46116</v>
      </c>
      <c r="B7" s="27" t="str">
        <f t="shared" si="0"/>
        <v>토</v>
      </c>
      <c r="C7" s="27" t="str">
        <f>IF(A7="","",IF(OR(WEEKDAY(A7,2)&gt;5,COUNTIF('2.공휴일리스트'!$A$2:$A$1000,A7)&gt;0),"휴일","평일"))</f>
        <v>휴일</v>
      </c>
      <c r="D7" s="28"/>
      <c r="E7" s="28"/>
      <c r="F7" s="27" t="str">
        <f>IFERROR(IF(OR(D7="",E7=""),"",IF($C7="평일",MIN(8,MAX(0,(E7-D7)*24-'1.설정(통합)'!$B$14)),0)),"")</f>
        <v/>
      </c>
      <c r="G7" s="27" t="str">
        <f>IFERROR(IF(OR(D7="",E7="",$C7="휴일"),"",IF((E7-D7)*24-'1.설정(통합)'!$B$14&gt;8,(E7-D7)*24-'1.설정(통합)'!$B$14-8,0)),"")</f>
        <v/>
      </c>
      <c r="H7" s="27" t="str">
        <f>IFERROR(IF(OR(D7="",E7="",$C7="평일"),"",MIN(8,MAX(0,(E7-D7)*24-'1.설정(통합)'!$B$14))),"")</f>
        <v/>
      </c>
      <c r="I7" s="27" t="str">
        <f>IFERROR(IF(OR(D7="",E7="",$C7="평일"),"",IF((E7-D7)*24-'1.설정(통합)'!$B$14&gt;8,(E7-D7)*24-'1.설정(통합)'!$B$14-8,0)),"")</f>
        <v/>
      </c>
      <c r="J7" s="27" t="str">
        <f t="shared" si="1"/>
        <v/>
      </c>
      <c r="K7" s="28"/>
      <c r="L7" s="28"/>
      <c r="M7" s="27" t="str">
        <f>IFERROR(IF(OR(K7="",L7=""),"",IF($C7="평일",MIN(8,MAX(0,(L7-K7)*24-'1.설정(통합)'!$C$14)),0)),"")</f>
        <v/>
      </c>
      <c r="N7" s="27" t="str">
        <f>IFERROR(IF(OR(K7="",L7="",$C7="휴일"),"",IF((L7-K7)*24-'1.설정(통합)'!$C$14&gt;8,(L7-K7)*24-'1.설정(통합)'!$C$14-8,0)),"")</f>
        <v/>
      </c>
      <c r="O7" s="27" t="str">
        <f>IFERROR(IF(OR(K7="",L7="",$C7="평일"),"",MIN(8,MAX(0,(L7-K7)*24-'1.설정(통합)'!$C$14))),"")</f>
        <v/>
      </c>
      <c r="P7" s="27" t="str">
        <f>IFERROR(IF(OR(K7="",L7="",$C7="평일"),"",IF((L7-K7)*24-'1.설정(통합)'!$C$14&gt;8,(L7-K7)*24-'1.설정(통합)'!$C$14-8,0)),"")</f>
        <v/>
      </c>
      <c r="Q7" s="27" t="str">
        <f t="shared" si="2"/>
        <v/>
      </c>
      <c r="R7" s="28"/>
      <c r="S7" s="28"/>
      <c r="T7" s="27" t="str">
        <f>IFERROR(IF(OR(R7="",S7=""),"",IF($C7="평일",MIN(8,MAX(0,(S7-R7)*24-'1.설정(통합)'!$D$14)),0)),"")</f>
        <v/>
      </c>
      <c r="U7" s="27" t="str">
        <f>IFERROR(IF(OR(R7="",S7="",$C7="휴일"),"",IF((S7-R7)*24-'1.설정(통합)'!$D$14&gt;8,(S7-R7)*24-'1.설정(통합)'!$D$14-8,0)),"")</f>
        <v/>
      </c>
      <c r="V7" s="27" t="str">
        <f>IFERROR(IF(OR(R7="",S7="",$C7="평일"),"",MIN(8,MAX(0,(S7-R7)*24-'1.설정(통합)'!$D$14))),"")</f>
        <v/>
      </c>
      <c r="W7" s="27" t="str">
        <f>IFERROR(IF(OR(R7="",S7="",$C7="평일"),"",IF((S7-R7)*24-'1.설정(통합)'!$D$14&gt;8,(S7-R7)*24-'1.설정(통합)'!$D$14-8,0)),"")</f>
        <v/>
      </c>
      <c r="X7" s="27" t="str">
        <f t="shared" si="3"/>
        <v/>
      </c>
      <c r="Y7" s="28"/>
      <c r="Z7" s="28"/>
      <c r="AA7" s="27" t="str">
        <f>IFERROR(IF(OR(Y7="",Z7=""),"",IF($C7="평일",MIN(8,MAX(0,(Z7-Y7)*24-'1.설정(통합)'!$E$14)),0)),"")</f>
        <v/>
      </c>
      <c r="AB7" s="27" t="str">
        <f>IFERROR(IF(OR(Y7="",Z7="",$C7="휴일"),"",IF((Z7-Y7)*24-'1.설정(통합)'!$E$14&gt;8,(Z7-Y7)*24-'1.설정(통합)'!$E$14-8,0)),"")</f>
        <v/>
      </c>
      <c r="AC7" s="27" t="str">
        <f>IFERROR(IF(OR(Y7="",Z7="",$C7="평일"),"",MIN(8,MAX(0,(Z7-Y7)*24-'1.설정(통합)'!$E$14))),"")</f>
        <v/>
      </c>
      <c r="AD7" s="27" t="str">
        <f>IFERROR(IF(OR(Y7="",Z7="",$C7="평일"),"",IF((Z7-Y7)*24-'1.설정(통합)'!$E$14&gt;8,(Z7-Y7)*24-'1.설정(통합)'!$E$14-8,0)),"")</f>
        <v/>
      </c>
      <c r="AE7" s="27" t="str">
        <f t="shared" si="4"/>
        <v/>
      </c>
      <c r="AF7" s="28"/>
      <c r="AG7" s="28"/>
      <c r="AH7" s="27" t="str">
        <f>IFERROR(IF(OR(AF7="",AG7=""),"",IF($C7="평일",MIN(8,MAX(0,(AG7-AF7)*24-'1.설정(통합)'!$F$14)),0)),"")</f>
        <v/>
      </c>
      <c r="AI7" s="27" t="str">
        <f>IFERROR(IF(OR(AF7="",AG7="",$C7="휴일"),"",IF((AG7-AF7)*24-'1.설정(통합)'!$F$14&gt;8,(AG7-AF7)*24-'1.설정(통합)'!$F$14-8,0)),"")</f>
        <v/>
      </c>
      <c r="AJ7" s="27" t="str">
        <f>IFERROR(IF(OR(AF7="",AG7="",$C7="평일"),"",MIN(8,MAX(0,(AG7-AF7)*24-'1.설정(통합)'!$F$14))),"")</f>
        <v/>
      </c>
      <c r="AK7" s="27" t="str">
        <f>IFERROR(IF(OR(AF7="",AG7="",$C7="평일"),"",IF((AG7-AF7)*24-'1.설정(통합)'!$F$14&gt;8,(AG7-AF7)*24-'1.설정(통합)'!$F$14-8,0)),"")</f>
        <v/>
      </c>
      <c r="AL7" s="27" t="str">
        <f t="shared" si="5"/>
        <v/>
      </c>
    </row>
    <row r="8" spans="1:38" ht="15.75" customHeight="1">
      <c r="A8" s="26">
        <f>IFERROR(IF(DAY(DATE(2000+$F$1,$H$1+1,0))&lt;5,"",DATE(2000+$F$1,$H$1,5)),"")</f>
        <v>46117</v>
      </c>
      <c r="B8" s="27" t="str">
        <f t="shared" si="0"/>
        <v>일</v>
      </c>
      <c r="C8" s="27" t="str">
        <f>IF(A8="","",IF(OR(WEEKDAY(A8,2)&gt;5,COUNTIF('2.공휴일리스트'!$A$2:$A$1000,A8)&gt;0),"휴일","평일"))</f>
        <v>휴일</v>
      </c>
      <c r="D8" s="28"/>
      <c r="E8" s="28"/>
      <c r="F8" s="27" t="str">
        <f>IFERROR(IF(OR(D8="",E8=""),"",IF($C8="평일",MIN(8,MAX(0,(E8-D8)*24-'1.설정(통합)'!$B$14)),0)),"")</f>
        <v/>
      </c>
      <c r="G8" s="27" t="str">
        <f>IFERROR(IF(OR(D8="",E8="",$C8="휴일"),"",IF((E8-D8)*24-'1.설정(통합)'!$B$14&gt;8,(E8-D8)*24-'1.설정(통합)'!$B$14-8,0)),"")</f>
        <v/>
      </c>
      <c r="H8" s="27" t="str">
        <f>IFERROR(IF(OR(D8="",E8="",$C8="평일"),"",MIN(8,MAX(0,(E8-D8)*24-'1.설정(통합)'!$B$14))),"")</f>
        <v/>
      </c>
      <c r="I8" s="27" t="str">
        <f>IFERROR(IF(OR(D8="",E8="",$C8="평일"),"",IF((E8-D8)*24-'1.설정(통합)'!$B$14&gt;8,(E8-D8)*24-'1.설정(통합)'!$B$14-8,0)),"")</f>
        <v/>
      </c>
      <c r="J8" s="27" t="str">
        <f t="shared" si="1"/>
        <v/>
      </c>
      <c r="K8" s="28"/>
      <c r="L8" s="28"/>
      <c r="M8" s="27" t="str">
        <f>IFERROR(IF(OR(K8="",L8=""),"",IF($C8="평일",MIN(8,MAX(0,(L8-K8)*24-'1.설정(통합)'!$C$14)),0)),"")</f>
        <v/>
      </c>
      <c r="N8" s="27" t="str">
        <f>IFERROR(IF(OR(K8="",L8="",$C8="휴일"),"",IF((L8-K8)*24-'1.설정(통합)'!$C$14&gt;8,(L8-K8)*24-'1.설정(통합)'!$C$14-8,0)),"")</f>
        <v/>
      </c>
      <c r="O8" s="27" t="str">
        <f>IFERROR(IF(OR(K8="",L8="",$C8="평일"),"",MIN(8,MAX(0,(L8-K8)*24-'1.설정(통합)'!$C$14))),"")</f>
        <v/>
      </c>
      <c r="P8" s="27" t="str">
        <f>IFERROR(IF(OR(K8="",L8="",$C8="평일"),"",IF((L8-K8)*24-'1.설정(통합)'!$C$14&gt;8,(L8-K8)*24-'1.설정(통합)'!$C$14-8,0)),"")</f>
        <v/>
      </c>
      <c r="Q8" s="27" t="str">
        <f t="shared" si="2"/>
        <v/>
      </c>
      <c r="R8" s="28"/>
      <c r="S8" s="28"/>
      <c r="T8" s="27" t="str">
        <f>IFERROR(IF(OR(R8="",S8=""),"",IF($C8="평일",MIN(8,MAX(0,(S8-R8)*24-'1.설정(통합)'!$D$14)),0)),"")</f>
        <v/>
      </c>
      <c r="U8" s="27" t="str">
        <f>IFERROR(IF(OR(R8="",S8="",$C8="휴일"),"",IF((S8-R8)*24-'1.설정(통합)'!$D$14&gt;8,(S8-R8)*24-'1.설정(통합)'!$D$14-8,0)),"")</f>
        <v/>
      </c>
      <c r="V8" s="27" t="str">
        <f>IFERROR(IF(OR(R8="",S8="",$C8="평일"),"",MIN(8,MAX(0,(S8-R8)*24-'1.설정(통합)'!$D$14))),"")</f>
        <v/>
      </c>
      <c r="W8" s="27" t="str">
        <f>IFERROR(IF(OR(R8="",S8="",$C8="평일"),"",IF((S8-R8)*24-'1.설정(통합)'!$D$14&gt;8,(S8-R8)*24-'1.설정(통합)'!$D$14-8,0)),"")</f>
        <v/>
      </c>
      <c r="X8" s="27" t="str">
        <f t="shared" si="3"/>
        <v/>
      </c>
      <c r="Y8" s="28"/>
      <c r="Z8" s="28"/>
      <c r="AA8" s="27" t="str">
        <f>IFERROR(IF(OR(Y8="",Z8=""),"",IF($C8="평일",MIN(8,MAX(0,(Z8-Y8)*24-'1.설정(통합)'!$E$14)),0)),"")</f>
        <v/>
      </c>
      <c r="AB8" s="27" t="str">
        <f>IFERROR(IF(OR(Y8="",Z8="",$C8="휴일"),"",IF((Z8-Y8)*24-'1.설정(통합)'!$E$14&gt;8,(Z8-Y8)*24-'1.설정(통합)'!$E$14-8,0)),"")</f>
        <v/>
      </c>
      <c r="AC8" s="27" t="str">
        <f>IFERROR(IF(OR(Y8="",Z8="",$C8="평일"),"",MIN(8,MAX(0,(Z8-Y8)*24-'1.설정(통합)'!$E$14))),"")</f>
        <v/>
      </c>
      <c r="AD8" s="27" t="str">
        <f>IFERROR(IF(OR(Y8="",Z8="",$C8="평일"),"",IF((Z8-Y8)*24-'1.설정(통합)'!$E$14&gt;8,(Z8-Y8)*24-'1.설정(통합)'!$E$14-8,0)),"")</f>
        <v/>
      </c>
      <c r="AE8" s="27" t="str">
        <f t="shared" si="4"/>
        <v/>
      </c>
      <c r="AF8" s="28"/>
      <c r="AG8" s="28"/>
      <c r="AH8" s="27" t="str">
        <f>IFERROR(IF(OR(AF8="",AG8=""),"",IF($C8="평일",MIN(8,MAX(0,(AG8-AF8)*24-'1.설정(통합)'!$F$14)),0)),"")</f>
        <v/>
      </c>
      <c r="AI8" s="27" t="str">
        <f>IFERROR(IF(OR(AF8="",AG8="",$C8="휴일"),"",IF((AG8-AF8)*24-'1.설정(통합)'!$F$14&gt;8,(AG8-AF8)*24-'1.설정(통합)'!$F$14-8,0)),"")</f>
        <v/>
      </c>
      <c r="AJ8" s="27" t="str">
        <f>IFERROR(IF(OR(AF8="",AG8="",$C8="평일"),"",MIN(8,MAX(0,(AG8-AF8)*24-'1.설정(통합)'!$F$14))),"")</f>
        <v/>
      </c>
      <c r="AK8" s="27" t="str">
        <f>IFERROR(IF(OR(AF8="",AG8="",$C8="평일"),"",IF((AG8-AF8)*24-'1.설정(통합)'!$F$14&gt;8,(AG8-AF8)*24-'1.설정(통합)'!$F$14-8,0)),"")</f>
        <v/>
      </c>
      <c r="AL8" s="27" t="str">
        <f t="shared" si="5"/>
        <v/>
      </c>
    </row>
    <row r="9" spans="1:38" ht="15.75" customHeight="1">
      <c r="A9" s="26">
        <f>IFERROR(IF(DAY(DATE(2000+$F$1,$H$1+1,0))&lt;6,"",DATE(2000+$F$1,$H$1,6)),"")</f>
        <v>46118</v>
      </c>
      <c r="B9" s="27" t="str">
        <f t="shared" si="0"/>
        <v>월</v>
      </c>
      <c r="C9" s="27" t="str">
        <f>IF(A9="","",IF(OR(WEEKDAY(A9,2)&gt;5,COUNTIF('2.공휴일리스트'!$A$2:$A$1000,A9)&gt;0),"휴일","평일"))</f>
        <v>평일</v>
      </c>
      <c r="D9" s="28"/>
      <c r="E9" s="28"/>
      <c r="F9" s="27" t="str">
        <f>IFERROR(IF(OR(D9="",E9=""),"",IF($C9="평일",MIN(8,MAX(0,(E9-D9)*24-'1.설정(통합)'!$B$14)),0)),"")</f>
        <v/>
      </c>
      <c r="G9" s="27" t="str">
        <f>IFERROR(IF(OR(D9="",E9="",$C9="휴일"),"",IF((E9-D9)*24-'1.설정(통합)'!$B$14&gt;8,(E9-D9)*24-'1.설정(통합)'!$B$14-8,0)),"")</f>
        <v/>
      </c>
      <c r="H9" s="27" t="str">
        <f>IFERROR(IF(OR(D9="",E9="",$C9="평일"),"",MIN(8,MAX(0,(E9-D9)*24-'1.설정(통합)'!$B$14))),"")</f>
        <v/>
      </c>
      <c r="I9" s="27" t="str">
        <f>IFERROR(IF(OR(D9="",E9="",$C9="평일"),"",IF((E9-D9)*24-'1.설정(통합)'!$B$14&gt;8,(E9-D9)*24-'1.설정(통합)'!$B$14-8,0)),"")</f>
        <v/>
      </c>
      <c r="J9" s="27" t="str">
        <f t="shared" si="1"/>
        <v/>
      </c>
      <c r="K9" s="28">
        <v>0.33333333333333298</v>
      </c>
      <c r="L9" s="28">
        <v>0.70833333333333304</v>
      </c>
      <c r="M9" s="27">
        <f>IFERROR(IF(OR(K9="",L9=""),"",IF($C9="평일",MIN(8,MAX(0,(L9-K9)*24-'1.설정(통합)'!$C$14)),0)),"")</f>
        <v>8</v>
      </c>
      <c r="N9" s="27">
        <f>IFERROR(IF(OR(K9="",L9="",$C9="휴일"),"",IF((L9-K9)*24-'1.설정(통합)'!$C$14&gt;8,(L9-K9)*24-'1.설정(통합)'!$C$14-8,0)),"")</f>
        <v>0</v>
      </c>
      <c r="O9" s="27" t="str">
        <f>IFERROR(IF(OR(K9="",L9="",$C9="평일"),"",MIN(8,MAX(0,(L9-K9)*24-'1.설정(통합)'!$C$14))),"")</f>
        <v/>
      </c>
      <c r="P9" s="27" t="str">
        <f>IFERROR(IF(OR(K9="",L9="",$C9="평일"),"",IF((L9-K9)*24-'1.설정(통합)'!$C$14&gt;8,(L9-K9)*24-'1.설정(통합)'!$C$14-8,0)),"")</f>
        <v/>
      </c>
      <c r="Q9" s="27">
        <f t="shared" si="2"/>
        <v>0</v>
      </c>
      <c r="R9" s="28"/>
      <c r="S9" s="28"/>
      <c r="T9" s="27" t="str">
        <f>IFERROR(IF(OR(R9="",S9=""),"",IF($C9="평일",MIN(8,MAX(0,(S9-R9)*24-'1.설정(통합)'!$D$14)),0)),"")</f>
        <v/>
      </c>
      <c r="U9" s="27" t="str">
        <f>IFERROR(IF(OR(R9="",S9="",$C9="휴일"),"",IF((S9-R9)*24-'1.설정(통합)'!$D$14&gt;8,(S9-R9)*24-'1.설정(통합)'!$D$14-8,0)),"")</f>
        <v/>
      </c>
      <c r="V9" s="27" t="str">
        <f>IFERROR(IF(OR(R9="",S9="",$C9="평일"),"",MIN(8,MAX(0,(S9-R9)*24-'1.설정(통합)'!$D$14))),"")</f>
        <v/>
      </c>
      <c r="W9" s="27" t="str">
        <f>IFERROR(IF(OR(R9="",S9="",$C9="평일"),"",IF((S9-R9)*24-'1.설정(통합)'!$D$14&gt;8,(S9-R9)*24-'1.설정(통합)'!$D$14-8,0)),"")</f>
        <v/>
      </c>
      <c r="X9" s="27" t="str">
        <f t="shared" si="3"/>
        <v/>
      </c>
      <c r="Y9" s="28"/>
      <c r="Z9" s="28"/>
      <c r="AA9" s="27" t="str">
        <f>IFERROR(IF(OR(Y9="",Z9=""),"",IF($C9="평일",MIN(8,MAX(0,(Z9-Y9)*24-'1.설정(통합)'!$E$14)),0)),"")</f>
        <v/>
      </c>
      <c r="AB9" s="27" t="str">
        <f>IFERROR(IF(OR(Y9="",Z9="",$C9="휴일"),"",IF((Z9-Y9)*24-'1.설정(통합)'!$E$14&gt;8,(Z9-Y9)*24-'1.설정(통합)'!$E$14-8,0)),"")</f>
        <v/>
      </c>
      <c r="AC9" s="27" t="str">
        <f>IFERROR(IF(OR(Y9="",Z9="",$C9="평일"),"",MIN(8,MAX(0,(Z9-Y9)*24-'1.설정(통합)'!$E$14))),"")</f>
        <v/>
      </c>
      <c r="AD9" s="27" t="str">
        <f>IFERROR(IF(OR(Y9="",Z9="",$C9="평일"),"",IF((Z9-Y9)*24-'1.설정(통합)'!$E$14&gt;8,(Z9-Y9)*24-'1.설정(통합)'!$E$14-8,0)),"")</f>
        <v/>
      </c>
      <c r="AE9" s="27" t="str">
        <f t="shared" si="4"/>
        <v/>
      </c>
      <c r="AF9" s="28">
        <v>0.33333333333333298</v>
      </c>
      <c r="AG9" s="28">
        <v>0.70833333333333304</v>
      </c>
      <c r="AH9" s="27">
        <f>IFERROR(IF(OR(AF9="",AG9=""),"",IF($C9="평일",MIN(8,MAX(0,(AG9-AF9)*24-'1.설정(통합)'!$F$14)),0)),"")</f>
        <v>8</v>
      </c>
      <c r="AI9" s="27">
        <f>IFERROR(IF(OR(AF9="",AG9="",$C9="휴일"),"",IF((AG9-AF9)*24-'1.설정(통합)'!$F$14&gt;8,(AG9-AF9)*24-'1.설정(통합)'!$F$14-8,0)),"")</f>
        <v>0</v>
      </c>
      <c r="AJ9" s="27" t="str">
        <f>IFERROR(IF(OR(AF9="",AG9="",$C9="평일"),"",MIN(8,MAX(0,(AG9-AF9)*24-'1.설정(통합)'!$F$14))),"")</f>
        <v/>
      </c>
      <c r="AK9" s="27" t="str">
        <f>IFERROR(IF(OR(AF9="",AG9="",$C9="평일"),"",IF((AG9-AF9)*24-'1.설정(통합)'!$F$14&gt;8,(AG9-AF9)*24-'1.설정(통합)'!$F$14-8,0)),"")</f>
        <v/>
      </c>
      <c r="AL9" s="27">
        <f t="shared" si="5"/>
        <v>0</v>
      </c>
    </row>
    <row r="10" spans="1:38" ht="15.75" customHeight="1">
      <c r="A10" s="26">
        <f>IFERROR(IF(DAY(DATE(2000+$F$1,$H$1+1,0))&lt;7,"",DATE(2000+$F$1,$H$1,7)),"")</f>
        <v>46119</v>
      </c>
      <c r="B10" s="27" t="str">
        <f t="shared" si="0"/>
        <v>화</v>
      </c>
      <c r="C10" s="27" t="str">
        <f>IF(A10="","",IF(OR(WEEKDAY(A10,2)&gt;5,COUNTIF('2.공휴일리스트'!$A$2:$A$1000,A10)&gt;0),"휴일","평일"))</f>
        <v>평일</v>
      </c>
      <c r="D10" s="28"/>
      <c r="E10" s="28"/>
      <c r="F10" s="27" t="str">
        <f>IFERROR(IF(OR(D10="",E10=""),"",IF($C10="평일",MIN(8,MAX(0,(E10-D10)*24-'1.설정(통합)'!$B$14)),0)),"")</f>
        <v/>
      </c>
      <c r="G10" s="27" t="str">
        <f>IFERROR(IF(OR(D10="",E10="",$C10="휴일"),"",IF((E10-D10)*24-'1.설정(통합)'!$B$14&gt;8,(E10-D10)*24-'1.설정(통합)'!$B$14-8,0)),"")</f>
        <v/>
      </c>
      <c r="H10" s="27" t="str">
        <f>IFERROR(IF(OR(D10="",E10="",$C10="평일"),"",MIN(8,MAX(0,(E10-D10)*24-'1.설정(통합)'!$B$14))),"")</f>
        <v/>
      </c>
      <c r="I10" s="27" t="str">
        <f>IFERROR(IF(OR(D10="",E10="",$C10="평일"),"",IF((E10-D10)*24-'1.설정(통합)'!$B$14&gt;8,(E10-D10)*24-'1.설정(통합)'!$B$14-8,0)),"")</f>
        <v/>
      </c>
      <c r="J10" s="27" t="str">
        <f t="shared" si="1"/>
        <v/>
      </c>
      <c r="K10" s="28">
        <v>0.33333333333333298</v>
      </c>
      <c r="L10" s="28">
        <v>0.70833333333333304</v>
      </c>
      <c r="M10" s="27">
        <f>IFERROR(IF(OR(K10="",L10=""),"",IF($C10="평일",MIN(8,MAX(0,(L10-K10)*24-'1.설정(통합)'!$C$14)),0)),"")</f>
        <v>8</v>
      </c>
      <c r="N10" s="27">
        <f>IFERROR(IF(OR(K10="",L10="",$C10="휴일"),"",IF((L10-K10)*24-'1.설정(통합)'!$C$14&gt;8,(L10-K10)*24-'1.설정(통합)'!$C$14-8,0)),"")</f>
        <v>0</v>
      </c>
      <c r="O10" s="27" t="str">
        <f>IFERROR(IF(OR(K10="",L10="",$C10="평일"),"",MIN(8,MAX(0,(L10-K10)*24-'1.설정(통합)'!$C$14))),"")</f>
        <v/>
      </c>
      <c r="P10" s="27" t="str">
        <f>IFERROR(IF(OR(K10="",L10="",$C10="평일"),"",IF((L10-K10)*24-'1.설정(통합)'!$C$14&gt;8,(L10-K10)*24-'1.설정(통합)'!$C$14-8,0)),"")</f>
        <v/>
      </c>
      <c r="Q10" s="27">
        <f t="shared" si="2"/>
        <v>0</v>
      </c>
      <c r="R10" s="28"/>
      <c r="S10" s="28"/>
      <c r="T10" s="27" t="str">
        <f>IFERROR(IF(OR(R10="",S10=""),"",IF($C10="평일",MIN(8,MAX(0,(S10-R10)*24-'1.설정(통합)'!$D$14)),0)),"")</f>
        <v/>
      </c>
      <c r="U10" s="27" t="str">
        <f>IFERROR(IF(OR(R10="",S10="",$C10="휴일"),"",IF((S10-R10)*24-'1.설정(통합)'!$D$14&gt;8,(S10-R10)*24-'1.설정(통합)'!$D$14-8,0)),"")</f>
        <v/>
      </c>
      <c r="V10" s="27" t="str">
        <f>IFERROR(IF(OR(R10="",S10="",$C10="평일"),"",MIN(8,MAX(0,(S10-R10)*24-'1.설정(통합)'!$D$14))),"")</f>
        <v/>
      </c>
      <c r="W10" s="27" t="str">
        <f>IFERROR(IF(OR(R10="",S10="",$C10="평일"),"",IF((S10-R10)*24-'1.설정(통합)'!$D$14&gt;8,(S10-R10)*24-'1.설정(통합)'!$D$14-8,0)),"")</f>
        <v/>
      </c>
      <c r="X10" s="27" t="str">
        <f t="shared" si="3"/>
        <v/>
      </c>
      <c r="Y10" s="28">
        <v>0.33333333333333298</v>
      </c>
      <c r="Z10" s="28">
        <v>0.70833333333333304</v>
      </c>
      <c r="AA10" s="27">
        <f>IFERROR(IF(OR(Y10="",Z10=""),"",IF($C10="평일",MIN(8,MAX(0,(Z10-Y10)*24-'1.설정(통합)'!$E$14)),0)),"")</f>
        <v>8</v>
      </c>
      <c r="AB10" s="27">
        <f>IFERROR(IF(OR(Y10="",Z10="",$C10="휴일"),"",IF((Z10-Y10)*24-'1.설정(통합)'!$E$14&gt;8,(Z10-Y10)*24-'1.설정(통합)'!$E$14-8,0)),"")</f>
        <v>0</v>
      </c>
      <c r="AC10" s="27" t="str">
        <f>IFERROR(IF(OR(Y10="",Z10="",$C10="평일"),"",MIN(8,MAX(0,(Z10-Y10)*24-'1.설정(통합)'!$E$14))),"")</f>
        <v/>
      </c>
      <c r="AD10" s="27" t="str">
        <f>IFERROR(IF(OR(Y10="",Z10="",$C10="평일"),"",IF((Z10-Y10)*24-'1.설정(통합)'!$E$14&gt;8,(Z10-Y10)*24-'1.설정(통합)'!$E$14-8,0)),"")</f>
        <v/>
      </c>
      <c r="AE10" s="27">
        <f t="shared" si="4"/>
        <v>0</v>
      </c>
      <c r="AF10" s="28">
        <v>0.33333333333333298</v>
      </c>
      <c r="AG10" s="28">
        <v>0.70833333333333304</v>
      </c>
      <c r="AH10" s="27">
        <f>IFERROR(IF(OR(AF10="",AG10=""),"",IF($C10="평일",MIN(8,MAX(0,(AG10-AF10)*24-'1.설정(통합)'!$F$14)),0)),"")</f>
        <v>8</v>
      </c>
      <c r="AI10" s="27">
        <f>IFERROR(IF(OR(AF10="",AG10="",$C10="휴일"),"",IF((AG10-AF10)*24-'1.설정(통합)'!$F$14&gt;8,(AG10-AF10)*24-'1.설정(통합)'!$F$14-8,0)),"")</f>
        <v>0</v>
      </c>
      <c r="AJ10" s="27" t="str">
        <f>IFERROR(IF(OR(AF10="",AG10="",$C10="평일"),"",MIN(8,MAX(0,(AG10-AF10)*24-'1.설정(통합)'!$F$14))),"")</f>
        <v/>
      </c>
      <c r="AK10" s="27" t="str">
        <f>IFERROR(IF(OR(AF10="",AG10="",$C10="평일"),"",IF((AG10-AF10)*24-'1.설정(통합)'!$F$14&gt;8,(AG10-AF10)*24-'1.설정(통합)'!$F$14-8,0)),"")</f>
        <v/>
      </c>
      <c r="AL10" s="27">
        <f t="shared" si="5"/>
        <v>0</v>
      </c>
    </row>
    <row r="11" spans="1:38" ht="15.75" customHeight="1">
      <c r="A11" s="26">
        <f>IFERROR(IF(DAY(DATE(2000+$F$1,$H$1+1,0))&lt;8,"",DATE(2000+$F$1,$H$1,8)),"")</f>
        <v>46120</v>
      </c>
      <c r="B11" s="27" t="str">
        <f t="shared" si="0"/>
        <v>수</v>
      </c>
      <c r="C11" s="27" t="str">
        <f>IF(A11="","",IF(OR(WEEKDAY(A11,2)&gt;5,COUNTIF('2.공휴일리스트'!$A$2:$A$1000,A11)&gt;0),"휴일","평일"))</f>
        <v>평일</v>
      </c>
      <c r="D11" s="28"/>
      <c r="E11" s="28"/>
      <c r="F11" s="27" t="str">
        <f>IFERROR(IF(OR(D11="",E11=""),"",IF($C11="평일",MIN(8,MAX(0,(E11-D11)*24-'1.설정(통합)'!$B$14)),0)),"")</f>
        <v/>
      </c>
      <c r="G11" s="27" t="str">
        <f>IFERROR(IF(OR(D11="",E11="",$C11="휴일"),"",IF((E11-D11)*24-'1.설정(통합)'!$B$14&gt;8,(E11-D11)*24-'1.설정(통합)'!$B$14-8,0)),"")</f>
        <v/>
      </c>
      <c r="H11" s="27" t="str">
        <f>IFERROR(IF(OR(D11="",E11="",$C11="평일"),"",MIN(8,MAX(0,(E11-D11)*24-'1.설정(통합)'!$B$14))),"")</f>
        <v/>
      </c>
      <c r="I11" s="27" t="str">
        <f>IFERROR(IF(OR(D11="",E11="",$C11="평일"),"",IF((E11-D11)*24-'1.설정(통합)'!$B$14&gt;8,(E11-D11)*24-'1.설정(통합)'!$B$14-8,0)),"")</f>
        <v/>
      </c>
      <c r="J11" s="27" t="str">
        <f t="shared" si="1"/>
        <v/>
      </c>
      <c r="K11" s="28">
        <v>0.33333333333333298</v>
      </c>
      <c r="L11" s="28">
        <v>0.70833333333333304</v>
      </c>
      <c r="M11" s="27">
        <f>IFERROR(IF(OR(K11="",L11=""),"",IF($C11="평일",MIN(8,MAX(0,(L11-K11)*24-'1.설정(통합)'!$C$14)),0)),"")</f>
        <v>8</v>
      </c>
      <c r="N11" s="27">
        <f>IFERROR(IF(OR(K11="",L11="",$C11="휴일"),"",IF((L11-K11)*24-'1.설정(통합)'!$C$14&gt;8,(L11-K11)*24-'1.설정(통합)'!$C$14-8,0)),"")</f>
        <v>0</v>
      </c>
      <c r="O11" s="27" t="str">
        <f>IFERROR(IF(OR(K11="",L11="",$C11="평일"),"",MIN(8,MAX(0,(L11-K11)*24-'1.설정(통합)'!$C$14))),"")</f>
        <v/>
      </c>
      <c r="P11" s="27" t="str">
        <f>IFERROR(IF(OR(K11="",L11="",$C11="평일"),"",IF((L11-K11)*24-'1.설정(통합)'!$C$14&gt;8,(L11-K11)*24-'1.설정(통합)'!$C$14-8,0)),"")</f>
        <v/>
      </c>
      <c r="Q11" s="27">
        <f t="shared" si="2"/>
        <v>0</v>
      </c>
      <c r="R11" s="28"/>
      <c r="S11" s="28"/>
      <c r="T11" s="27" t="str">
        <f>IFERROR(IF(OR(R11="",S11=""),"",IF($C11="평일",MIN(8,MAX(0,(S11-R11)*24-'1.설정(통합)'!$D$14)),0)),"")</f>
        <v/>
      </c>
      <c r="U11" s="27" t="str">
        <f>IFERROR(IF(OR(R11="",S11="",$C11="휴일"),"",IF((S11-R11)*24-'1.설정(통합)'!$D$14&gt;8,(S11-R11)*24-'1.설정(통합)'!$D$14-8,0)),"")</f>
        <v/>
      </c>
      <c r="V11" s="27" t="str">
        <f>IFERROR(IF(OR(R11="",S11="",$C11="평일"),"",MIN(8,MAX(0,(S11-R11)*24-'1.설정(통합)'!$D$14))),"")</f>
        <v/>
      </c>
      <c r="W11" s="27" t="str">
        <f>IFERROR(IF(OR(R11="",S11="",$C11="평일"),"",IF((S11-R11)*24-'1.설정(통합)'!$D$14&gt;8,(S11-R11)*24-'1.설정(통합)'!$D$14-8,0)),"")</f>
        <v/>
      </c>
      <c r="X11" s="27" t="str">
        <f t="shared" si="3"/>
        <v/>
      </c>
      <c r="Y11" s="28">
        <v>0.33333333333333298</v>
      </c>
      <c r="Z11" s="28">
        <v>0.70833333333333304</v>
      </c>
      <c r="AA11" s="27">
        <f>IFERROR(IF(OR(Y11="",Z11=""),"",IF($C11="평일",MIN(8,MAX(0,(Z11-Y11)*24-'1.설정(통합)'!$E$14)),0)),"")</f>
        <v>8</v>
      </c>
      <c r="AB11" s="27">
        <f>IFERROR(IF(OR(Y11="",Z11="",$C11="휴일"),"",IF((Z11-Y11)*24-'1.설정(통합)'!$E$14&gt;8,(Z11-Y11)*24-'1.설정(통합)'!$E$14-8,0)),"")</f>
        <v>0</v>
      </c>
      <c r="AC11" s="27" t="str">
        <f>IFERROR(IF(OR(Y11="",Z11="",$C11="평일"),"",MIN(8,MAX(0,(Z11-Y11)*24-'1.설정(통합)'!$E$14))),"")</f>
        <v/>
      </c>
      <c r="AD11" s="27" t="str">
        <f>IFERROR(IF(OR(Y11="",Z11="",$C11="평일"),"",IF((Z11-Y11)*24-'1.설정(통합)'!$E$14&gt;8,(Z11-Y11)*24-'1.설정(통합)'!$E$14-8,0)),"")</f>
        <v/>
      </c>
      <c r="AE11" s="27">
        <f t="shared" si="4"/>
        <v>0</v>
      </c>
      <c r="AF11" s="28">
        <v>0.33333333333333298</v>
      </c>
      <c r="AG11" s="28">
        <v>0.70833333333333304</v>
      </c>
      <c r="AH11" s="27">
        <f>IFERROR(IF(OR(AF11="",AG11=""),"",IF($C11="평일",MIN(8,MAX(0,(AG11-AF11)*24-'1.설정(통합)'!$F$14)),0)),"")</f>
        <v>8</v>
      </c>
      <c r="AI11" s="27">
        <f>IFERROR(IF(OR(AF11="",AG11="",$C11="휴일"),"",IF((AG11-AF11)*24-'1.설정(통합)'!$F$14&gt;8,(AG11-AF11)*24-'1.설정(통합)'!$F$14-8,0)),"")</f>
        <v>0</v>
      </c>
      <c r="AJ11" s="27" t="str">
        <f>IFERROR(IF(OR(AF11="",AG11="",$C11="평일"),"",MIN(8,MAX(0,(AG11-AF11)*24-'1.설정(통합)'!$F$14))),"")</f>
        <v/>
      </c>
      <c r="AK11" s="27" t="str">
        <f>IFERROR(IF(OR(AF11="",AG11="",$C11="평일"),"",IF((AG11-AF11)*24-'1.설정(통합)'!$F$14&gt;8,(AG11-AF11)*24-'1.설정(통합)'!$F$14-8,0)),"")</f>
        <v/>
      </c>
      <c r="AL11" s="27">
        <f t="shared" si="5"/>
        <v>0</v>
      </c>
    </row>
    <row r="12" spans="1:38" ht="15.75" customHeight="1">
      <c r="A12" s="26">
        <f>IFERROR(IF(DAY(DATE(2000+$F$1,$H$1+1,0))&lt;9,"",DATE(2000+$F$1,$H$1,9)),"")</f>
        <v>46121</v>
      </c>
      <c r="B12" s="27" t="str">
        <f t="shared" si="0"/>
        <v>목</v>
      </c>
      <c r="C12" s="27" t="str">
        <f>IF(A12="","",IF(OR(WEEKDAY(A12,2)&gt;5,COUNTIF('2.공휴일리스트'!$A$2:$A$1000,A12)&gt;0),"휴일","평일"))</f>
        <v>평일</v>
      </c>
      <c r="D12" s="28"/>
      <c r="E12" s="28"/>
      <c r="F12" s="27" t="str">
        <f>IFERROR(IF(OR(D12="",E12=""),"",IF($C12="평일",MIN(8,MAX(0,(E12-D12)*24-'1.설정(통합)'!$B$14)),0)),"")</f>
        <v/>
      </c>
      <c r="G12" s="27" t="str">
        <f>IFERROR(IF(OR(D12="",E12="",$C12="휴일"),"",IF((E12-D12)*24-'1.설정(통합)'!$B$14&gt;8,(E12-D12)*24-'1.설정(통합)'!$B$14-8,0)),"")</f>
        <v/>
      </c>
      <c r="H12" s="27" t="str">
        <f>IFERROR(IF(OR(D12="",E12="",$C12="평일"),"",MIN(8,MAX(0,(E12-D12)*24-'1.설정(통합)'!$B$14))),"")</f>
        <v/>
      </c>
      <c r="I12" s="27" t="str">
        <f>IFERROR(IF(OR(D12="",E12="",$C12="평일"),"",IF((E12-D12)*24-'1.설정(통합)'!$B$14&gt;8,(E12-D12)*24-'1.설정(통합)'!$B$14-8,0)),"")</f>
        <v/>
      </c>
      <c r="J12" s="27" t="str">
        <f t="shared" si="1"/>
        <v/>
      </c>
      <c r="K12" s="28">
        <v>0.33333333333333298</v>
      </c>
      <c r="L12" s="28">
        <v>0.70833333333333304</v>
      </c>
      <c r="M12" s="27">
        <f>IFERROR(IF(OR(K12="",L12=""),"",IF($C12="평일",MIN(8,MAX(0,(L12-K12)*24-'1.설정(통합)'!$C$14)),0)),"")</f>
        <v>8</v>
      </c>
      <c r="N12" s="27">
        <f>IFERROR(IF(OR(K12="",L12="",$C12="휴일"),"",IF((L12-K12)*24-'1.설정(통합)'!$C$14&gt;8,(L12-K12)*24-'1.설정(통합)'!$C$14-8,0)),"")</f>
        <v>0</v>
      </c>
      <c r="O12" s="27" t="str">
        <f>IFERROR(IF(OR(K12="",L12="",$C12="평일"),"",MIN(8,MAX(0,(L12-K12)*24-'1.설정(통합)'!$C$14))),"")</f>
        <v/>
      </c>
      <c r="P12" s="27" t="str">
        <f>IFERROR(IF(OR(K12="",L12="",$C12="평일"),"",IF((L12-K12)*24-'1.설정(통합)'!$C$14&gt;8,(L12-K12)*24-'1.설정(통합)'!$C$14-8,0)),"")</f>
        <v/>
      </c>
      <c r="Q12" s="27">
        <f t="shared" si="2"/>
        <v>0</v>
      </c>
      <c r="R12" s="28"/>
      <c r="S12" s="28"/>
      <c r="T12" s="27" t="str">
        <f>IFERROR(IF(OR(R12="",S12=""),"",IF($C12="평일",MIN(8,MAX(0,(S12-R12)*24-'1.설정(통합)'!$D$14)),0)),"")</f>
        <v/>
      </c>
      <c r="U12" s="27" t="str">
        <f>IFERROR(IF(OR(R12="",S12="",$C12="휴일"),"",IF((S12-R12)*24-'1.설정(통합)'!$D$14&gt;8,(S12-R12)*24-'1.설정(통합)'!$D$14-8,0)),"")</f>
        <v/>
      </c>
      <c r="V12" s="27" t="str">
        <f>IFERROR(IF(OR(R12="",S12="",$C12="평일"),"",MIN(8,MAX(0,(S12-R12)*24-'1.설정(통합)'!$D$14))),"")</f>
        <v/>
      </c>
      <c r="W12" s="27" t="str">
        <f>IFERROR(IF(OR(R12="",S12="",$C12="평일"),"",IF((S12-R12)*24-'1.설정(통합)'!$D$14&gt;8,(S12-R12)*24-'1.설정(통합)'!$D$14-8,0)),"")</f>
        <v/>
      </c>
      <c r="X12" s="27" t="str">
        <f t="shared" si="3"/>
        <v/>
      </c>
      <c r="Y12" s="28">
        <v>0.33333333333333298</v>
      </c>
      <c r="Z12" s="28">
        <v>0.70833333333333304</v>
      </c>
      <c r="AA12" s="27">
        <f>IFERROR(IF(OR(Y12="",Z12=""),"",IF($C12="평일",MIN(8,MAX(0,(Z12-Y12)*24-'1.설정(통합)'!$E$14)),0)),"")</f>
        <v>8</v>
      </c>
      <c r="AB12" s="27">
        <f>IFERROR(IF(OR(Y12="",Z12="",$C12="휴일"),"",IF((Z12-Y12)*24-'1.설정(통합)'!$E$14&gt;8,(Z12-Y12)*24-'1.설정(통합)'!$E$14-8,0)),"")</f>
        <v>0</v>
      </c>
      <c r="AC12" s="27" t="str">
        <f>IFERROR(IF(OR(Y12="",Z12="",$C12="평일"),"",MIN(8,MAX(0,(Z12-Y12)*24-'1.설정(통합)'!$E$14))),"")</f>
        <v/>
      </c>
      <c r="AD12" s="27" t="str">
        <f>IFERROR(IF(OR(Y12="",Z12="",$C12="평일"),"",IF((Z12-Y12)*24-'1.설정(통합)'!$E$14&gt;8,(Z12-Y12)*24-'1.설정(통합)'!$E$14-8,0)),"")</f>
        <v/>
      </c>
      <c r="AE12" s="27">
        <f t="shared" si="4"/>
        <v>0</v>
      </c>
      <c r="AF12" s="28">
        <v>0.33333333333333298</v>
      </c>
      <c r="AG12" s="28">
        <v>0.70833333333333304</v>
      </c>
      <c r="AH12" s="27">
        <f>IFERROR(IF(OR(AF12="",AG12=""),"",IF($C12="평일",MIN(8,MAX(0,(AG12-AF12)*24-'1.설정(통합)'!$F$14)),0)),"")</f>
        <v>8</v>
      </c>
      <c r="AI12" s="27">
        <f>IFERROR(IF(OR(AF12="",AG12="",$C12="휴일"),"",IF((AG12-AF12)*24-'1.설정(통합)'!$F$14&gt;8,(AG12-AF12)*24-'1.설정(통합)'!$F$14-8,0)),"")</f>
        <v>0</v>
      </c>
      <c r="AJ12" s="27" t="str">
        <f>IFERROR(IF(OR(AF12="",AG12="",$C12="평일"),"",MIN(8,MAX(0,(AG12-AF12)*24-'1.설정(통합)'!$F$14))),"")</f>
        <v/>
      </c>
      <c r="AK12" s="27" t="str">
        <f>IFERROR(IF(OR(AF12="",AG12="",$C12="평일"),"",IF((AG12-AF12)*24-'1.설정(통합)'!$F$14&gt;8,(AG12-AF12)*24-'1.설정(통합)'!$F$14-8,0)),"")</f>
        <v/>
      </c>
      <c r="AL12" s="27">
        <f t="shared" si="5"/>
        <v>0</v>
      </c>
    </row>
    <row r="13" spans="1:38" ht="15.75" customHeight="1">
      <c r="A13" s="26">
        <f>IFERROR(IF(DAY(DATE(2000+$F$1,$H$1+1,0))&lt;10,"",DATE(2000+$F$1,$H$1,10)),"")</f>
        <v>46122</v>
      </c>
      <c r="B13" s="27" t="str">
        <f t="shared" si="0"/>
        <v>금</v>
      </c>
      <c r="C13" s="27" t="str">
        <f>IF(A13="","",IF(OR(WEEKDAY(A13,2)&gt;5,COUNTIF('2.공휴일리스트'!$A$2:$A$1000,A13)&gt;0),"휴일","평일"))</f>
        <v>평일</v>
      </c>
      <c r="D13" s="28"/>
      <c r="E13" s="28"/>
      <c r="F13" s="27" t="str">
        <f>IFERROR(IF(OR(D13="",E13=""),"",IF($C13="평일",MIN(8,MAX(0,(E13-D13)*24-'1.설정(통합)'!$B$14)),0)),"")</f>
        <v/>
      </c>
      <c r="G13" s="27" t="str">
        <f>IFERROR(IF(OR(D13="",E13="",$C13="휴일"),"",IF((E13-D13)*24-'1.설정(통합)'!$B$14&gt;8,(E13-D13)*24-'1.설정(통합)'!$B$14-8,0)),"")</f>
        <v/>
      </c>
      <c r="H13" s="27" t="str">
        <f>IFERROR(IF(OR(D13="",E13="",$C13="평일"),"",MIN(8,MAX(0,(E13-D13)*24-'1.설정(통합)'!$B$14))),"")</f>
        <v/>
      </c>
      <c r="I13" s="27" t="str">
        <f>IFERROR(IF(OR(D13="",E13="",$C13="평일"),"",IF((E13-D13)*24-'1.설정(통합)'!$B$14&gt;8,(E13-D13)*24-'1.설정(통합)'!$B$14-8,0)),"")</f>
        <v/>
      </c>
      <c r="J13" s="27" t="str">
        <f t="shared" si="1"/>
        <v/>
      </c>
      <c r="K13" s="28">
        <v>0.33333333333333298</v>
      </c>
      <c r="L13" s="28">
        <v>0.70833333333333304</v>
      </c>
      <c r="M13" s="27">
        <f>IFERROR(IF(OR(K13="",L13=""),"",IF($C13="평일",MIN(8,MAX(0,(L13-K13)*24-'1.설정(통합)'!$C$14)),0)),"")</f>
        <v>8</v>
      </c>
      <c r="N13" s="27">
        <f>IFERROR(IF(OR(K13="",L13="",$C13="휴일"),"",IF((L13-K13)*24-'1.설정(통합)'!$C$14&gt;8,(L13-K13)*24-'1.설정(통합)'!$C$14-8,0)),"")</f>
        <v>0</v>
      </c>
      <c r="O13" s="27" t="str">
        <f>IFERROR(IF(OR(K13="",L13="",$C13="평일"),"",MIN(8,MAX(0,(L13-K13)*24-'1.설정(통합)'!$C$14))),"")</f>
        <v/>
      </c>
      <c r="P13" s="27" t="str">
        <f>IFERROR(IF(OR(K13="",L13="",$C13="평일"),"",IF((L13-K13)*24-'1.설정(통합)'!$C$14&gt;8,(L13-K13)*24-'1.설정(통합)'!$C$14-8,0)),"")</f>
        <v/>
      </c>
      <c r="Q13" s="27">
        <f t="shared" si="2"/>
        <v>0</v>
      </c>
      <c r="R13" s="28">
        <v>0.33333333333333298</v>
      </c>
      <c r="S13" s="28">
        <v>0.70833333333333304</v>
      </c>
      <c r="T13" s="27">
        <f>IFERROR(IF(OR(R13="",S13=""),"",IF($C13="평일",MIN(8,MAX(0,(S13-R13)*24-'1.설정(통합)'!$D$14)),0)),"")</f>
        <v>8</v>
      </c>
      <c r="U13" s="27">
        <f>IFERROR(IF(OR(R13="",S13="",$C13="휴일"),"",IF((S13-R13)*24-'1.설정(통합)'!$D$14&gt;8,(S13-R13)*24-'1.설정(통합)'!$D$14-8,0)),"")</f>
        <v>0</v>
      </c>
      <c r="V13" s="27" t="str">
        <f>IFERROR(IF(OR(R13="",S13="",$C13="평일"),"",MIN(8,MAX(0,(S13-R13)*24-'1.설정(통합)'!$D$14))),"")</f>
        <v/>
      </c>
      <c r="W13" s="27" t="str">
        <f>IFERROR(IF(OR(R13="",S13="",$C13="평일"),"",IF((S13-R13)*24-'1.설정(통합)'!$D$14&gt;8,(S13-R13)*24-'1.설정(통합)'!$D$14-8,0)),"")</f>
        <v/>
      </c>
      <c r="X13" s="27">
        <f t="shared" si="3"/>
        <v>0</v>
      </c>
      <c r="Y13" s="28">
        <v>0.33333333333333298</v>
      </c>
      <c r="Z13" s="28">
        <v>0.8125</v>
      </c>
      <c r="AA13" s="27">
        <f>IFERROR(IF(OR(Y13="",Z13=""),"",IF($C13="평일",MIN(8,MAX(0,(Z13-Y13)*24-'1.설정(통합)'!$E$14)),0)),"")</f>
        <v>8</v>
      </c>
      <c r="AB13" s="27">
        <f>IFERROR(IF(OR(Y13="",Z13="",$C13="휴일"),"",IF((Z13-Y13)*24-'1.설정(통합)'!$E$14&gt;8,(Z13-Y13)*24-'1.설정(통합)'!$E$14-8,0)),"")</f>
        <v>2.5000000000000089</v>
      </c>
      <c r="AC13" s="27" t="str">
        <f>IFERROR(IF(OR(Y13="",Z13="",$C13="평일"),"",MIN(8,MAX(0,(Z13-Y13)*24-'1.설정(통합)'!$E$14))),"")</f>
        <v/>
      </c>
      <c r="AD13" s="27" t="str">
        <f>IFERROR(IF(OR(Y13="",Z13="",$C13="평일"),"",IF((Z13-Y13)*24-'1.설정(통합)'!$E$14&gt;8,(Z13-Y13)*24-'1.설정(통합)'!$E$14-8,0)),"")</f>
        <v/>
      </c>
      <c r="AE13" s="27">
        <f t="shared" si="4"/>
        <v>0</v>
      </c>
      <c r="AF13" s="28">
        <v>0.33333333333333298</v>
      </c>
      <c r="AG13" s="28">
        <v>0.70833333333333304</v>
      </c>
      <c r="AH13" s="27">
        <f>IFERROR(IF(OR(AF13="",AG13=""),"",IF($C13="평일",MIN(8,MAX(0,(AG13-AF13)*24-'1.설정(통합)'!$F$14)),0)),"")</f>
        <v>8</v>
      </c>
      <c r="AI13" s="27">
        <f>IFERROR(IF(OR(AF13="",AG13="",$C13="휴일"),"",IF((AG13-AF13)*24-'1.설정(통합)'!$F$14&gt;8,(AG13-AF13)*24-'1.설정(통합)'!$F$14-8,0)),"")</f>
        <v>0</v>
      </c>
      <c r="AJ13" s="27" t="str">
        <f>IFERROR(IF(OR(AF13="",AG13="",$C13="평일"),"",MIN(8,MAX(0,(AG13-AF13)*24-'1.설정(통합)'!$F$14))),"")</f>
        <v/>
      </c>
      <c r="AK13" s="27" t="str">
        <f>IFERROR(IF(OR(AF13="",AG13="",$C13="평일"),"",IF((AG13-AF13)*24-'1.설정(통합)'!$F$14&gt;8,(AG13-AF13)*24-'1.설정(통합)'!$F$14-8,0)),"")</f>
        <v/>
      </c>
      <c r="AL13" s="27">
        <f t="shared" si="5"/>
        <v>0</v>
      </c>
    </row>
    <row r="14" spans="1:38" ht="15.75" customHeight="1">
      <c r="A14" s="26">
        <f>IFERROR(IF(DAY(DATE(2000+$F$1,$H$1+1,0))&lt;11,"",DATE(2000+$F$1,$H$1,11)),"")</f>
        <v>46123</v>
      </c>
      <c r="B14" s="27" t="str">
        <f t="shared" si="0"/>
        <v>토</v>
      </c>
      <c r="C14" s="27" t="str">
        <f>IF(A14="","",IF(OR(WEEKDAY(A14,2)&gt;5,COUNTIF('2.공휴일리스트'!$A$2:$A$1000,A14)&gt;0),"휴일","평일"))</f>
        <v>휴일</v>
      </c>
      <c r="D14" s="28"/>
      <c r="E14" s="28"/>
      <c r="F14" s="27" t="str">
        <f>IFERROR(IF(OR(D14="",E14=""),"",IF($C14="평일",MIN(8,MAX(0,(E14-D14)*24-'1.설정(통합)'!$B$14)),0)),"")</f>
        <v/>
      </c>
      <c r="G14" s="27" t="str">
        <f>IFERROR(IF(OR(D14="",E14="",$C14="휴일"),"",IF((E14-D14)*24-'1.설정(통합)'!$B$14&gt;8,(E14-D14)*24-'1.설정(통합)'!$B$14-8,0)),"")</f>
        <v/>
      </c>
      <c r="H14" s="27" t="str">
        <f>IFERROR(IF(OR(D14="",E14="",$C14="평일"),"",MIN(8,MAX(0,(E14-D14)*24-'1.설정(통합)'!$B$14))),"")</f>
        <v/>
      </c>
      <c r="I14" s="27" t="str">
        <f>IFERROR(IF(OR(D14="",E14="",$C14="평일"),"",IF((E14-D14)*24-'1.설정(통합)'!$B$14&gt;8,(E14-D14)*24-'1.설정(통합)'!$B$14-8,0)),"")</f>
        <v/>
      </c>
      <c r="J14" s="27" t="str">
        <f t="shared" si="1"/>
        <v/>
      </c>
      <c r="K14" s="28">
        <v>0.33333333333333298</v>
      </c>
      <c r="L14" s="28">
        <v>0.66666666666666696</v>
      </c>
      <c r="M14" s="27">
        <f>IFERROR(IF(OR(K14="",L14=""),"",IF($C14="평일",MIN(8,MAX(0,(L14-K14)*24-'1.설정(통합)'!$C$14)),0)),"")</f>
        <v>0</v>
      </c>
      <c r="N14" s="27" t="str">
        <f>IFERROR(IF(OR(K14="",L14="",$C14="휴일"),"",IF((L14-K14)*24-'1.설정(통합)'!$C$14&gt;8,(L14-K14)*24-'1.설정(통합)'!$C$14-8,0)),"")</f>
        <v/>
      </c>
      <c r="O14" s="27">
        <f>IFERROR(IF(OR(K14="",L14="",$C14="평일"),"",MIN(8,MAX(0,(L14-K14)*24-'1.설정(통합)'!$C$14))),"")</f>
        <v>7.000000000000016</v>
      </c>
      <c r="P14" s="27">
        <f>IFERROR(IF(OR(K14="",L14="",$C14="평일"),"",IF((L14-K14)*24-'1.설정(통합)'!$C$14&gt;8,(L14-K14)*24-'1.설정(통합)'!$C$14-8,0)),"")</f>
        <v>0</v>
      </c>
      <c r="Q14" s="27">
        <f t="shared" si="2"/>
        <v>0</v>
      </c>
      <c r="R14" s="28">
        <v>0.33333333333333298</v>
      </c>
      <c r="S14" s="28">
        <v>0.66666666666666696</v>
      </c>
      <c r="T14" s="27">
        <f>IFERROR(IF(OR(R14="",S14=""),"",IF($C14="평일",MIN(8,MAX(0,(S14-R14)*24-'1.설정(통합)'!$D$14)),0)),"")</f>
        <v>0</v>
      </c>
      <c r="U14" s="27" t="str">
        <f>IFERROR(IF(OR(R14="",S14="",$C14="휴일"),"",IF((S14-R14)*24-'1.설정(통합)'!$D$14&gt;8,(S14-R14)*24-'1.설정(통합)'!$D$14-8,0)),"")</f>
        <v/>
      </c>
      <c r="V14" s="27">
        <f>IFERROR(IF(OR(R14="",S14="",$C14="평일"),"",MIN(8,MAX(0,(S14-R14)*24-'1.설정(통합)'!$D$14))),"")</f>
        <v>7.000000000000016</v>
      </c>
      <c r="W14" s="27">
        <f>IFERROR(IF(OR(R14="",S14="",$C14="평일"),"",IF((S14-R14)*24-'1.설정(통합)'!$D$14&gt;8,(S14-R14)*24-'1.설정(통합)'!$D$14-8,0)),"")</f>
        <v>0</v>
      </c>
      <c r="X14" s="27">
        <f t="shared" si="3"/>
        <v>0</v>
      </c>
      <c r="Y14" s="28">
        <v>0.33333333333333298</v>
      </c>
      <c r="Z14" s="28">
        <v>0.66666666666666696</v>
      </c>
      <c r="AA14" s="27">
        <f>IFERROR(IF(OR(Y14="",Z14=""),"",IF($C14="평일",MIN(8,MAX(0,(Z14-Y14)*24-'1.설정(통합)'!$E$14)),0)),"")</f>
        <v>0</v>
      </c>
      <c r="AB14" s="27" t="str">
        <f>IFERROR(IF(OR(Y14="",Z14="",$C14="휴일"),"",IF((Z14-Y14)*24-'1.설정(통합)'!$E$14&gt;8,(Z14-Y14)*24-'1.설정(통합)'!$E$14-8,0)),"")</f>
        <v/>
      </c>
      <c r="AC14" s="27">
        <f>IFERROR(IF(OR(Y14="",Z14="",$C14="평일"),"",MIN(8,MAX(0,(Z14-Y14)*24-'1.설정(통합)'!$E$14))),"")</f>
        <v>7.000000000000016</v>
      </c>
      <c r="AD14" s="27">
        <f>IFERROR(IF(OR(Y14="",Z14="",$C14="평일"),"",IF((Z14-Y14)*24-'1.설정(통합)'!$E$14&gt;8,(Z14-Y14)*24-'1.설정(통합)'!$E$14-8,0)),"")</f>
        <v>0</v>
      </c>
      <c r="AE14" s="27">
        <f t="shared" si="4"/>
        <v>0</v>
      </c>
      <c r="AF14" s="28">
        <v>0.33333333333333298</v>
      </c>
      <c r="AG14" s="28">
        <v>0.66666666666666696</v>
      </c>
      <c r="AH14" s="27">
        <f>IFERROR(IF(OR(AF14="",AG14=""),"",IF($C14="평일",MIN(8,MAX(0,(AG14-AF14)*24-'1.설정(통합)'!$F$14)),0)),"")</f>
        <v>0</v>
      </c>
      <c r="AI14" s="27" t="str">
        <f>IFERROR(IF(OR(AF14="",AG14="",$C14="휴일"),"",IF((AG14-AF14)*24-'1.설정(통합)'!$F$14&gt;8,(AG14-AF14)*24-'1.설정(통합)'!$F$14-8,0)),"")</f>
        <v/>
      </c>
      <c r="AJ14" s="27">
        <f>IFERROR(IF(OR(AF14="",AG14="",$C14="평일"),"",MIN(8,MAX(0,(AG14-AF14)*24-'1.설정(통합)'!$F$14))),"")</f>
        <v>7.000000000000016</v>
      </c>
      <c r="AK14" s="27">
        <f>IFERROR(IF(OR(AF14="",AG14="",$C14="평일"),"",IF((AG14-AF14)*24-'1.설정(통합)'!$F$14&gt;8,(AG14-AF14)*24-'1.설정(통합)'!$F$14-8,0)),"")</f>
        <v>0</v>
      </c>
      <c r="AL14" s="27">
        <f t="shared" si="5"/>
        <v>0</v>
      </c>
    </row>
    <row r="15" spans="1:38" ht="15.75" customHeight="1">
      <c r="A15" s="26">
        <f>IFERROR(IF(DAY(DATE(2000+$F$1,$H$1+1,0))&lt;12,"",DATE(2000+$F$1,$H$1,12)),"")</f>
        <v>46124</v>
      </c>
      <c r="B15" s="27" t="str">
        <f t="shared" si="0"/>
        <v>일</v>
      </c>
      <c r="C15" s="27" t="str">
        <f>IF(A15="","",IF(OR(WEEKDAY(A15,2)&gt;5,COUNTIF('2.공휴일리스트'!$A$2:$A$1000,A15)&gt;0),"휴일","평일"))</f>
        <v>휴일</v>
      </c>
      <c r="D15" s="28"/>
      <c r="E15" s="28"/>
      <c r="F15" s="27" t="str">
        <f>IFERROR(IF(OR(D15="",E15=""),"",IF($C15="평일",MIN(8,MAX(0,(E15-D15)*24-'1.설정(통합)'!$B$14)),0)),"")</f>
        <v/>
      </c>
      <c r="G15" s="27" t="str">
        <f>IFERROR(IF(OR(D15="",E15="",$C15="휴일"),"",IF((E15-D15)*24-'1.설정(통합)'!$B$14&gt;8,(E15-D15)*24-'1.설정(통합)'!$B$14-8,0)),"")</f>
        <v/>
      </c>
      <c r="H15" s="27" t="str">
        <f>IFERROR(IF(OR(D15="",E15="",$C15="평일"),"",MIN(8,MAX(0,(E15-D15)*24-'1.설정(통합)'!$B$14))),"")</f>
        <v/>
      </c>
      <c r="I15" s="27" t="str">
        <f>IFERROR(IF(OR(D15="",E15="",$C15="평일"),"",IF((E15-D15)*24-'1.설정(통합)'!$B$14&gt;8,(E15-D15)*24-'1.설정(통합)'!$B$14-8,0)),"")</f>
        <v/>
      </c>
      <c r="J15" s="27" t="str">
        <f t="shared" si="1"/>
        <v/>
      </c>
      <c r="K15" s="28">
        <v>0.33333333333333298</v>
      </c>
      <c r="L15" s="28">
        <v>0.64583333333333304</v>
      </c>
      <c r="M15" s="27">
        <f>IFERROR(IF(OR(K15="",L15=""),"",IF($C15="평일",MIN(8,MAX(0,(L15-K15)*24-'1.설정(통합)'!$C$14)),0)),"")</f>
        <v>0</v>
      </c>
      <c r="N15" s="27" t="str">
        <f>IFERROR(IF(OR(K15="",L15="",$C15="휴일"),"",IF((L15-K15)*24-'1.설정(통합)'!$C$14&gt;8,(L15-K15)*24-'1.설정(통합)'!$C$14-8,0)),"")</f>
        <v/>
      </c>
      <c r="O15" s="27">
        <f>IFERROR(IF(OR(K15="",L15="",$C15="평일"),"",MIN(8,MAX(0,(L15-K15)*24-'1.설정(통합)'!$C$14))),"")</f>
        <v>6.5000000000000018</v>
      </c>
      <c r="P15" s="27">
        <f>IFERROR(IF(OR(K15="",L15="",$C15="평일"),"",IF((L15-K15)*24-'1.설정(통합)'!$C$14&gt;8,(L15-K15)*24-'1.설정(통합)'!$C$14-8,0)),"")</f>
        <v>0</v>
      </c>
      <c r="Q15" s="27">
        <f t="shared" si="2"/>
        <v>0</v>
      </c>
      <c r="R15" s="28">
        <v>0.33333333333333298</v>
      </c>
      <c r="S15" s="28">
        <v>0.64583333333333304</v>
      </c>
      <c r="T15" s="27">
        <f>IFERROR(IF(OR(R15="",S15=""),"",IF($C15="평일",MIN(8,MAX(0,(S15-R15)*24-'1.설정(통합)'!$D$14)),0)),"")</f>
        <v>0</v>
      </c>
      <c r="U15" s="27" t="str">
        <f>IFERROR(IF(OR(R15="",S15="",$C15="휴일"),"",IF((S15-R15)*24-'1.설정(통합)'!$D$14&gt;8,(S15-R15)*24-'1.설정(통합)'!$D$14-8,0)),"")</f>
        <v/>
      </c>
      <c r="V15" s="27">
        <f>IFERROR(IF(OR(R15="",S15="",$C15="평일"),"",MIN(8,MAX(0,(S15-R15)*24-'1.설정(통합)'!$D$14))),"")</f>
        <v>6.5000000000000018</v>
      </c>
      <c r="W15" s="27">
        <f>IFERROR(IF(OR(R15="",S15="",$C15="평일"),"",IF((S15-R15)*24-'1.설정(통합)'!$D$14&gt;8,(S15-R15)*24-'1.설정(통합)'!$D$14-8,0)),"")</f>
        <v>0</v>
      </c>
      <c r="X15" s="27">
        <f t="shared" si="3"/>
        <v>0</v>
      </c>
      <c r="Y15" s="28">
        <v>0.33333333333333298</v>
      </c>
      <c r="Z15" s="28">
        <v>0.64583333333333304</v>
      </c>
      <c r="AA15" s="27">
        <f>IFERROR(IF(OR(Y15="",Z15=""),"",IF($C15="평일",MIN(8,MAX(0,(Z15-Y15)*24-'1.설정(통합)'!$E$14)),0)),"")</f>
        <v>0</v>
      </c>
      <c r="AB15" s="27" t="str">
        <f>IFERROR(IF(OR(Y15="",Z15="",$C15="휴일"),"",IF((Z15-Y15)*24-'1.설정(통합)'!$E$14&gt;8,(Z15-Y15)*24-'1.설정(통합)'!$E$14-8,0)),"")</f>
        <v/>
      </c>
      <c r="AC15" s="27">
        <f>IFERROR(IF(OR(Y15="",Z15="",$C15="평일"),"",MIN(8,MAX(0,(Z15-Y15)*24-'1.설정(통합)'!$E$14))),"")</f>
        <v>6.5000000000000018</v>
      </c>
      <c r="AD15" s="27">
        <f>IFERROR(IF(OR(Y15="",Z15="",$C15="평일"),"",IF((Z15-Y15)*24-'1.설정(통합)'!$E$14&gt;8,(Z15-Y15)*24-'1.설정(통합)'!$E$14-8,0)),"")</f>
        <v>0</v>
      </c>
      <c r="AE15" s="27">
        <f t="shared" si="4"/>
        <v>0</v>
      </c>
      <c r="AF15" s="28">
        <v>0.33333333333333298</v>
      </c>
      <c r="AG15" s="28">
        <v>0.64583333333333304</v>
      </c>
      <c r="AH15" s="27">
        <f>IFERROR(IF(OR(AF15="",AG15=""),"",IF($C15="평일",MIN(8,MAX(0,(AG15-AF15)*24-'1.설정(통합)'!$F$14)),0)),"")</f>
        <v>0</v>
      </c>
      <c r="AI15" s="27" t="str">
        <f>IFERROR(IF(OR(AF15="",AG15="",$C15="휴일"),"",IF((AG15-AF15)*24-'1.설정(통합)'!$F$14&gt;8,(AG15-AF15)*24-'1.설정(통합)'!$F$14-8,0)),"")</f>
        <v/>
      </c>
      <c r="AJ15" s="27">
        <f>IFERROR(IF(OR(AF15="",AG15="",$C15="평일"),"",MIN(8,MAX(0,(AG15-AF15)*24-'1.설정(통합)'!$F$14))),"")</f>
        <v>6.5000000000000018</v>
      </c>
      <c r="AK15" s="27">
        <f>IFERROR(IF(OR(AF15="",AG15="",$C15="평일"),"",IF((AG15-AF15)*24-'1.설정(통합)'!$F$14&gt;8,(AG15-AF15)*24-'1.설정(통합)'!$F$14-8,0)),"")</f>
        <v>0</v>
      </c>
      <c r="AL15" s="27">
        <f t="shared" si="5"/>
        <v>0</v>
      </c>
    </row>
    <row r="16" spans="1:38" ht="15.75" customHeight="1">
      <c r="A16" s="26">
        <f>IFERROR(IF(DAY(DATE(2000+$F$1,$H$1+1,0))&lt;13,"",DATE(2000+$F$1,$H$1,13)),"")</f>
        <v>46125</v>
      </c>
      <c r="B16" s="27" t="str">
        <f t="shared" si="0"/>
        <v>월</v>
      </c>
      <c r="C16" s="27" t="str">
        <f>IF(A16="","",IF(OR(WEEKDAY(A16,2)&gt;5,COUNTIF('2.공휴일리스트'!$A$2:$A$1000,A16)&gt;0),"휴일","평일"))</f>
        <v>평일</v>
      </c>
      <c r="D16" s="28"/>
      <c r="E16" s="28"/>
      <c r="F16" s="27" t="str">
        <f>IFERROR(IF(OR(D16="",E16=""),"",IF($C16="평일",MIN(8,MAX(0,(E16-D16)*24-'1.설정(통합)'!$B$14)),0)),"")</f>
        <v/>
      </c>
      <c r="G16" s="27" t="str">
        <f>IFERROR(IF(OR(D16="",E16="",$C16="휴일"),"",IF((E16-D16)*24-'1.설정(통합)'!$B$14&gt;8,(E16-D16)*24-'1.설정(통합)'!$B$14-8,0)),"")</f>
        <v/>
      </c>
      <c r="H16" s="27" t="str">
        <f>IFERROR(IF(OR(D16="",E16="",$C16="평일"),"",MIN(8,MAX(0,(E16-D16)*24-'1.설정(통합)'!$B$14))),"")</f>
        <v/>
      </c>
      <c r="I16" s="27" t="str">
        <f>IFERROR(IF(OR(D16="",E16="",$C16="평일"),"",IF((E16-D16)*24-'1.설정(통합)'!$B$14&gt;8,(E16-D16)*24-'1.설정(통합)'!$B$14-8,0)),"")</f>
        <v/>
      </c>
      <c r="J16" s="27" t="str">
        <f t="shared" si="1"/>
        <v/>
      </c>
      <c r="K16" s="28">
        <v>0.33333333333333298</v>
      </c>
      <c r="L16" s="28">
        <v>0.70833333333333304</v>
      </c>
      <c r="M16" s="27">
        <f>IFERROR(IF(OR(K16="",L16=""),"",IF($C16="평일",MIN(8,MAX(0,(L16-K16)*24-'1.설정(통합)'!$C$14)),0)),"")</f>
        <v>8</v>
      </c>
      <c r="N16" s="27">
        <f>IFERROR(IF(OR(K16="",L16="",$C16="휴일"),"",IF((L16-K16)*24-'1.설정(통합)'!$C$14&gt;8,(L16-K16)*24-'1.설정(통합)'!$C$14-8,0)),"")</f>
        <v>0</v>
      </c>
      <c r="O16" s="27" t="str">
        <f>IFERROR(IF(OR(K16="",L16="",$C16="평일"),"",MIN(8,MAX(0,(L16-K16)*24-'1.설정(통합)'!$C$14))),"")</f>
        <v/>
      </c>
      <c r="P16" s="27" t="str">
        <f>IFERROR(IF(OR(K16="",L16="",$C16="평일"),"",IF((L16-K16)*24-'1.설정(통합)'!$C$14&gt;8,(L16-K16)*24-'1.설정(통합)'!$C$14-8,0)),"")</f>
        <v/>
      </c>
      <c r="Q16" s="27">
        <f t="shared" si="2"/>
        <v>0</v>
      </c>
      <c r="R16" s="28">
        <v>0.33333333333333298</v>
      </c>
      <c r="S16" s="28">
        <v>0.70833333333333304</v>
      </c>
      <c r="T16" s="27">
        <f>IFERROR(IF(OR(R16="",S16=""),"",IF($C16="평일",MIN(8,MAX(0,(S16-R16)*24-'1.설정(통합)'!$D$14)),0)),"")</f>
        <v>8</v>
      </c>
      <c r="U16" s="27">
        <f>IFERROR(IF(OR(R16="",S16="",$C16="휴일"),"",IF((S16-R16)*24-'1.설정(통합)'!$D$14&gt;8,(S16-R16)*24-'1.설정(통합)'!$D$14-8,0)),"")</f>
        <v>0</v>
      </c>
      <c r="V16" s="27" t="str">
        <f>IFERROR(IF(OR(R16="",S16="",$C16="평일"),"",MIN(8,MAX(0,(S16-R16)*24-'1.설정(통합)'!$D$14))),"")</f>
        <v/>
      </c>
      <c r="W16" s="27" t="str">
        <f>IFERROR(IF(OR(R16="",S16="",$C16="평일"),"",IF((S16-R16)*24-'1.설정(통합)'!$D$14&gt;8,(S16-R16)*24-'1.설정(통합)'!$D$14-8,0)),"")</f>
        <v/>
      </c>
      <c r="X16" s="27">
        <f t="shared" si="3"/>
        <v>0</v>
      </c>
      <c r="Y16" s="28">
        <v>0.33333333333333298</v>
      </c>
      <c r="Z16" s="28">
        <v>0.8125</v>
      </c>
      <c r="AA16" s="27">
        <f>IFERROR(IF(OR(Y16="",Z16=""),"",IF($C16="평일",MIN(8,MAX(0,(Z16-Y16)*24-'1.설정(통합)'!$E$14)),0)),"")</f>
        <v>8</v>
      </c>
      <c r="AB16" s="27">
        <f>IFERROR(IF(OR(Y16="",Z16="",$C16="휴일"),"",IF((Z16-Y16)*24-'1.설정(통합)'!$E$14&gt;8,(Z16-Y16)*24-'1.설정(통합)'!$E$14-8,0)),"")</f>
        <v>2.5000000000000089</v>
      </c>
      <c r="AC16" s="27" t="str">
        <f>IFERROR(IF(OR(Y16="",Z16="",$C16="평일"),"",MIN(8,MAX(0,(Z16-Y16)*24-'1.설정(통합)'!$E$14))),"")</f>
        <v/>
      </c>
      <c r="AD16" s="27" t="str">
        <f>IFERROR(IF(OR(Y16="",Z16="",$C16="평일"),"",IF((Z16-Y16)*24-'1.설정(통합)'!$E$14&gt;8,(Z16-Y16)*24-'1.설정(통합)'!$E$14-8,0)),"")</f>
        <v/>
      </c>
      <c r="AE16" s="27">
        <f t="shared" si="4"/>
        <v>0</v>
      </c>
      <c r="AF16" s="28">
        <v>0.33333333333333298</v>
      </c>
      <c r="AG16" s="28">
        <v>0.70833333333333304</v>
      </c>
      <c r="AH16" s="27">
        <f>IFERROR(IF(OR(AF16="",AG16=""),"",IF($C16="평일",MIN(8,MAX(0,(AG16-AF16)*24-'1.설정(통합)'!$F$14)),0)),"")</f>
        <v>8</v>
      </c>
      <c r="AI16" s="27">
        <f>IFERROR(IF(OR(AF16="",AG16="",$C16="휴일"),"",IF((AG16-AF16)*24-'1.설정(통합)'!$F$14&gt;8,(AG16-AF16)*24-'1.설정(통합)'!$F$14-8,0)),"")</f>
        <v>0</v>
      </c>
      <c r="AJ16" s="27" t="str">
        <f>IFERROR(IF(OR(AF16="",AG16="",$C16="평일"),"",MIN(8,MAX(0,(AG16-AF16)*24-'1.설정(통합)'!$F$14))),"")</f>
        <v/>
      </c>
      <c r="AK16" s="27" t="str">
        <f>IFERROR(IF(OR(AF16="",AG16="",$C16="평일"),"",IF((AG16-AF16)*24-'1.설정(통합)'!$F$14&gt;8,(AG16-AF16)*24-'1.설정(통합)'!$F$14-8,0)),"")</f>
        <v/>
      </c>
      <c r="AL16" s="27">
        <f t="shared" si="5"/>
        <v>0</v>
      </c>
    </row>
    <row r="17" spans="1:38" ht="15.75" customHeight="1">
      <c r="A17" s="26">
        <f>IFERROR(IF(DAY(DATE(2000+$F$1,$H$1+1,0))&lt;14,"",DATE(2000+$F$1,$H$1,14)),"")</f>
        <v>46126</v>
      </c>
      <c r="B17" s="27" t="str">
        <f t="shared" si="0"/>
        <v>화</v>
      </c>
      <c r="C17" s="27" t="str">
        <f>IF(A17="","",IF(OR(WEEKDAY(A17,2)&gt;5,COUNTIF('2.공휴일리스트'!$A$2:$A$1000,A17)&gt;0),"휴일","평일"))</f>
        <v>평일</v>
      </c>
      <c r="D17" s="28"/>
      <c r="E17" s="28"/>
      <c r="F17" s="27" t="str">
        <f>IFERROR(IF(OR(D17="",E17=""),"",IF($C17="평일",MIN(8,MAX(0,(E17-D17)*24-'1.설정(통합)'!$B$14)),0)),"")</f>
        <v/>
      </c>
      <c r="G17" s="27" t="str">
        <f>IFERROR(IF(OR(D17="",E17="",$C17="휴일"),"",IF((E17-D17)*24-'1.설정(통합)'!$B$14&gt;8,(E17-D17)*24-'1.설정(통합)'!$B$14-8,0)),"")</f>
        <v/>
      </c>
      <c r="H17" s="27" t="str">
        <f>IFERROR(IF(OR(D17="",E17="",$C17="평일"),"",MIN(8,MAX(0,(E17-D17)*24-'1.설정(통합)'!$B$14))),"")</f>
        <v/>
      </c>
      <c r="I17" s="27" t="str">
        <f>IFERROR(IF(OR(D17="",E17="",$C17="평일"),"",IF((E17-D17)*24-'1.설정(통합)'!$B$14&gt;8,(E17-D17)*24-'1.설정(통합)'!$B$14-8,0)),"")</f>
        <v/>
      </c>
      <c r="J17" s="27" t="str">
        <f t="shared" si="1"/>
        <v/>
      </c>
      <c r="K17" s="28">
        <v>0.33333333333333298</v>
      </c>
      <c r="L17" s="28">
        <v>0.70833333333333304</v>
      </c>
      <c r="M17" s="27">
        <f>IFERROR(IF(OR(K17="",L17=""),"",IF($C17="평일",MIN(8,MAX(0,(L17-K17)*24-'1.설정(통합)'!$C$14)),0)),"")</f>
        <v>8</v>
      </c>
      <c r="N17" s="27">
        <f>IFERROR(IF(OR(K17="",L17="",$C17="휴일"),"",IF((L17-K17)*24-'1.설정(통합)'!$C$14&gt;8,(L17-K17)*24-'1.설정(통합)'!$C$14-8,0)),"")</f>
        <v>0</v>
      </c>
      <c r="O17" s="27" t="str">
        <f>IFERROR(IF(OR(K17="",L17="",$C17="평일"),"",MIN(8,MAX(0,(L17-K17)*24-'1.설정(통합)'!$C$14))),"")</f>
        <v/>
      </c>
      <c r="P17" s="27" t="str">
        <f>IFERROR(IF(OR(K17="",L17="",$C17="평일"),"",IF((L17-K17)*24-'1.설정(통합)'!$C$14&gt;8,(L17-K17)*24-'1.설정(통합)'!$C$14-8,0)),"")</f>
        <v/>
      </c>
      <c r="Q17" s="27">
        <f t="shared" si="2"/>
        <v>0</v>
      </c>
      <c r="R17" s="28">
        <v>0.33333333333333298</v>
      </c>
      <c r="S17" s="28">
        <v>0.70833333333333304</v>
      </c>
      <c r="T17" s="27">
        <f>IFERROR(IF(OR(R17="",S17=""),"",IF($C17="평일",MIN(8,MAX(0,(S17-R17)*24-'1.설정(통합)'!$D$14)),0)),"")</f>
        <v>8</v>
      </c>
      <c r="U17" s="27">
        <f>IFERROR(IF(OR(R17="",S17="",$C17="휴일"),"",IF((S17-R17)*24-'1.설정(통합)'!$D$14&gt;8,(S17-R17)*24-'1.설정(통합)'!$D$14-8,0)),"")</f>
        <v>0</v>
      </c>
      <c r="V17" s="27" t="str">
        <f>IFERROR(IF(OR(R17="",S17="",$C17="평일"),"",MIN(8,MAX(0,(S17-R17)*24-'1.설정(통합)'!$D$14))),"")</f>
        <v/>
      </c>
      <c r="W17" s="27" t="str">
        <f>IFERROR(IF(OR(R17="",S17="",$C17="평일"),"",IF((S17-R17)*24-'1.설정(통합)'!$D$14&gt;8,(S17-R17)*24-'1.설정(통합)'!$D$14-8,0)),"")</f>
        <v/>
      </c>
      <c r="X17" s="27">
        <f t="shared" si="3"/>
        <v>0</v>
      </c>
      <c r="Y17" s="28">
        <v>0.33333333333333298</v>
      </c>
      <c r="Z17" s="28">
        <v>0.8125</v>
      </c>
      <c r="AA17" s="27">
        <f>IFERROR(IF(OR(Y17="",Z17=""),"",IF($C17="평일",MIN(8,MAX(0,(Z17-Y17)*24-'1.설정(통합)'!$E$14)),0)),"")</f>
        <v>8</v>
      </c>
      <c r="AB17" s="27">
        <f>IFERROR(IF(OR(Y17="",Z17="",$C17="휴일"),"",IF((Z17-Y17)*24-'1.설정(통합)'!$E$14&gt;8,(Z17-Y17)*24-'1.설정(통합)'!$E$14-8,0)),"")</f>
        <v>2.5000000000000089</v>
      </c>
      <c r="AC17" s="27" t="str">
        <f>IFERROR(IF(OR(Y17="",Z17="",$C17="평일"),"",MIN(8,MAX(0,(Z17-Y17)*24-'1.설정(통합)'!$E$14))),"")</f>
        <v/>
      </c>
      <c r="AD17" s="27" t="str">
        <f>IFERROR(IF(OR(Y17="",Z17="",$C17="평일"),"",IF((Z17-Y17)*24-'1.설정(통합)'!$E$14&gt;8,(Z17-Y17)*24-'1.설정(통합)'!$E$14-8,0)),"")</f>
        <v/>
      </c>
      <c r="AE17" s="27">
        <f t="shared" si="4"/>
        <v>0</v>
      </c>
      <c r="AF17" s="28">
        <v>0.33333333333333298</v>
      </c>
      <c r="AG17" s="28">
        <v>0.8125</v>
      </c>
      <c r="AH17" s="27">
        <f>IFERROR(IF(OR(AF17="",AG17=""),"",IF($C17="평일",MIN(8,MAX(0,(AG17-AF17)*24-'1.설정(통합)'!$F$14)),0)),"")</f>
        <v>8</v>
      </c>
      <c r="AI17" s="27">
        <f>IFERROR(IF(OR(AF17="",AG17="",$C17="휴일"),"",IF((AG17-AF17)*24-'1.설정(통합)'!$F$14&gt;8,(AG17-AF17)*24-'1.설정(통합)'!$F$14-8,0)),"")</f>
        <v>2.5000000000000089</v>
      </c>
      <c r="AJ17" s="27" t="str">
        <f>IFERROR(IF(OR(AF17="",AG17="",$C17="평일"),"",MIN(8,MAX(0,(AG17-AF17)*24-'1.설정(통합)'!$F$14))),"")</f>
        <v/>
      </c>
      <c r="AK17" s="27" t="str">
        <f>IFERROR(IF(OR(AF17="",AG17="",$C17="평일"),"",IF((AG17-AF17)*24-'1.설정(통합)'!$F$14&gt;8,(AG17-AF17)*24-'1.설정(통합)'!$F$14-8,0)),"")</f>
        <v/>
      </c>
      <c r="AL17" s="27">
        <f t="shared" si="5"/>
        <v>0</v>
      </c>
    </row>
    <row r="18" spans="1:38" ht="15.75" customHeight="1">
      <c r="A18" s="26">
        <f>IFERROR(IF(DAY(DATE(2000+$F$1,$H$1+1,0))&lt;15,"",DATE(2000+$F$1,$H$1,15)),"")</f>
        <v>46127</v>
      </c>
      <c r="B18" s="27" t="str">
        <f t="shared" si="0"/>
        <v>수</v>
      </c>
      <c r="C18" s="27" t="str">
        <f>IF(A18="","",IF(OR(WEEKDAY(A18,2)&gt;5,COUNTIF('2.공휴일리스트'!$A$2:$A$1000,A18)&gt;0),"휴일","평일"))</f>
        <v>평일</v>
      </c>
      <c r="D18" s="28">
        <v>0.33333333333333298</v>
      </c>
      <c r="E18" s="28">
        <v>0.70833333333333304</v>
      </c>
      <c r="F18" s="27">
        <f>IFERROR(IF(OR(D18="",E18=""),"",IF($C18="평일",MIN(8,MAX(0,(E18-D18)*24-'1.설정(통합)'!$B$14)),0)),"")</f>
        <v>8</v>
      </c>
      <c r="G18" s="27">
        <f>IFERROR(IF(OR(D18="",E18="",$C18="휴일"),"",IF((E18-D18)*24-'1.설정(통합)'!$B$14&gt;8,(E18-D18)*24-'1.설정(통합)'!$B$14-8,0)),"")</f>
        <v>0</v>
      </c>
      <c r="H18" s="27" t="str">
        <f>IFERROR(IF(OR(D18="",E18="",$C18="평일"),"",MIN(8,MAX(0,(E18-D18)*24-'1.설정(통합)'!$B$14))),"")</f>
        <v/>
      </c>
      <c r="I18" s="27" t="str">
        <f>IFERROR(IF(OR(D18="",E18="",$C18="평일"),"",IF((E18-D18)*24-'1.설정(통합)'!$B$14&gt;8,(E18-D18)*24-'1.설정(통합)'!$B$14-8,0)),"")</f>
        <v/>
      </c>
      <c r="J18" s="27">
        <f t="shared" si="1"/>
        <v>0</v>
      </c>
      <c r="K18" s="28">
        <v>0.33333333333333298</v>
      </c>
      <c r="L18" s="28">
        <v>0.70833333333333304</v>
      </c>
      <c r="M18" s="27">
        <f>IFERROR(IF(OR(K18="",L18=""),"",IF($C18="평일",MIN(8,MAX(0,(L18-K18)*24-'1.설정(통합)'!$C$14)),0)),"")</f>
        <v>8</v>
      </c>
      <c r="N18" s="27">
        <f>IFERROR(IF(OR(K18="",L18="",$C18="휴일"),"",IF((L18-K18)*24-'1.설정(통합)'!$C$14&gt;8,(L18-K18)*24-'1.설정(통합)'!$C$14-8,0)),"")</f>
        <v>0</v>
      </c>
      <c r="O18" s="27" t="str">
        <f>IFERROR(IF(OR(K18="",L18="",$C18="평일"),"",MIN(8,MAX(0,(L18-K18)*24-'1.설정(통합)'!$C$14))),"")</f>
        <v/>
      </c>
      <c r="P18" s="27" t="str">
        <f>IFERROR(IF(OR(K18="",L18="",$C18="평일"),"",IF((L18-K18)*24-'1.설정(통합)'!$C$14&gt;8,(L18-K18)*24-'1.설정(통합)'!$C$14-8,0)),"")</f>
        <v/>
      </c>
      <c r="Q18" s="27">
        <f t="shared" si="2"/>
        <v>0</v>
      </c>
      <c r="R18" s="28">
        <v>0.33333333333333298</v>
      </c>
      <c r="S18" s="28">
        <v>0.70833333333333304</v>
      </c>
      <c r="T18" s="27">
        <f>IFERROR(IF(OR(R18="",S18=""),"",IF($C18="평일",MIN(8,MAX(0,(S18-R18)*24-'1.설정(통합)'!$D$14)),0)),"")</f>
        <v>8</v>
      </c>
      <c r="U18" s="27">
        <f>IFERROR(IF(OR(R18="",S18="",$C18="휴일"),"",IF((S18-R18)*24-'1.설정(통합)'!$D$14&gt;8,(S18-R18)*24-'1.설정(통합)'!$D$14-8,0)),"")</f>
        <v>0</v>
      </c>
      <c r="V18" s="27" t="str">
        <f>IFERROR(IF(OR(R18="",S18="",$C18="평일"),"",MIN(8,MAX(0,(S18-R18)*24-'1.설정(통합)'!$D$14))),"")</f>
        <v/>
      </c>
      <c r="W18" s="27" t="str">
        <f>IFERROR(IF(OR(R18="",S18="",$C18="평일"),"",IF((S18-R18)*24-'1.설정(통합)'!$D$14&gt;8,(S18-R18)*24-'1.설정(통합)'!$D$14-8,0)),"")</f>
        <v/>
      </c>
      <c r="X18" s="27">
        <f t="shared" si="3"/>
        <v>0</v>
      </c>
      <c r="Y18" s="28">
        <v>0.33333333333333298</v>
      </c>
      <c r="Z18" s="28">
        <v>0.8125</v>
      </c>
      <c r="AA18" s="27">
        <f>IFERROR(IF(OR(Y18="",Z18=""),"",IF($C18="평일",MIN(8,MAX(0,(Z18-Y18)*24-'1.설정(통합)'!$E$14)),0)),"")</f>
        <v>8</v>
      </c>
      <c r="AB18" s="27">
        <f>IFERROR(IF(OR(Y18="",Z18="",$C18="휴일"),"",IF((Z18-Y18)*24-'1.설정(통합)'!$E$14&gt;8,(Z18-Y18)*24-'1.설정(통합)'!$E$14-8,0)),"")</f>
        <v>2.5000000000000089</v>
      </c>
      <c r="AC18" s="27" t="str">
        <f>IFERROR(IF(OR(Y18="",Z18="",$C18="평일"),"",MIN(8,MAX(0,(Z18-Y18)*24-'1.설정(통합)'!$E$14))),"")</f>
        <v/>
      </c>
      <c r="AD18" s="27" t="str">
        <f>IFERROR(IF(OR(Y18="",Z18="",$C18="평일"),"",IF((Z18-Y18)*24-'1.설정(통합)'!$E$14&gt;8,(Z18-Y18)*24-'1.설정(통합)'!$E$14-8,0)),"")</f>
        <v/>
      </c>
      <c r="AE18" s="27">
        <f t="shared" si="4"/>
        <v>0</v>
      </c>
      <c r="AF18" s="28">
        <v>0.33333333333333298</v>
      </c>
      <c r="AG18" s="28">
        <v>0.70833333333333304</v>
      </c>
      <c r="AH18" s="27">
        <f>IFERROR(IF(OR(AF18="",AG18=""),"",IF($C18="평일",MIN(8,MAX(0,(AG18-AF18)*24-'1.설정(통합)'!$F$14)),0)),"")</f>
        <v>8</v>
      </c>
      <c r="AI18" s="27">
        <f>IFERROR(IF(OR(AF18="",AG18="",$C18="휴일"),"",IF((AG18-AF18)*24-'1.설정(통합)'!$F$14&gt;8,(AG18-AF18)*24-'1.설정(통합)'!$F$14-8,0)),"")</f>
        <v>0</v>
      </c>
      <c r="AJ18" s="27" t="str">
        <f>IFERROR(IF(OR(AF18="",AG18="",$C18="평일"),"",MIN(8,MAX(0,(AG18-AF18)*24-'1.설정(통합)'!$F$14))),"")</f>
        <v/>
      </c>
      <c r="AK18" s="27" t="str">
        <f>IFERROR(IF(OR(AF18="",AG18="",$C18="평일"),"",IF((AG18-AF18)*24-'1.설정(통합)'!$F$14&gt;8,(AG18-AF18)*24-'1.설정(통합)'!$F$14-8,0)),"")</f>
        <v/>
      </c>
      <c r="AL18" s="27">
        <f t="shared" si="5"/>
        <v>0</v>
      </c>
    </row>
    <row r="19" spans="1:38" ht="15.75" customHeight="1">
      <c r="A19" s="26">
        <f>IFERROR(IF(DAY(DATE(2000+$F$1,$H$1+1,0))&lt;16,"",DATE(2000+$F$1,$H$1,16)),"")</f>
        <v>46128</v>
      </c>
      <c r="B19" s="27" t="str">
        <f t="shared" si="0"/>
        <v>목</v>
      </c>
      <c r="C19" s="27" t="str">
        <f>IF(A19="","",IF(OR(WEEKDAY(A19,2)&gt;5,COUNTIF('2.공휴일리스트'!$A$2:$A$1000,A19)&gt;0),"휴일","평일"))</f>
        <v>평일</v>
      </c>
      <c r="D19" s="28">
        <v>0.33333333333333298</v>
      </c>
      <c r="E19" s="28">
        <v>0.70833333333333304</v>
      </c>
      <c r="F19" s="27">
        <f>IFERROR(IF(OR(D19="",E19=""),"",IF($C19="평일",MIN(8,MAX(0,(E19-D19)*24-'1.설정(통합)'!$B$14)),0)),"")</f>
        <v>8</v>
      </c>
      <c r="G19" s="27">
        <f>IFERROR(IF(OR(D19="",E19="",$C19="휴일"),"",IF((E19-D19)*24-'1.설정(통합)'!$B$14&gt;8,(E19-D19)*24-'1.설정(통합)'!$B$14-8,0)),"")</f>
        <v>0</v>
      </c>
      <c r="H19" s="27" t="str">
        <f>IFERROR(IF(OR(D19="",E19="",$C19="평일"),"",MIN(8,MAX(0,(E19-D19)*24-'1.설정(통합)'!$B$14))),"")</f>
        <v/>
      </c>
      <c r="I19" s="27" t="str">
        <f>IFERROR(IF(OR(D19="",E19="",$C19="평일"),"",IF((E19-D19)*24-'1.설정(통합)'!$B$14&gt;8,(E19-D19)*24-'1.설정(통합)'!$B$14-8,0)),"")</f>
        <v/>
      </c>
      <c r="J19" s="27">
        <f t="shared" si="1"/>
        <v>0</v>
      </c>
      <c r="K19" s="28">
        <v>0.33333333333333298</v>
      </c>
      <c r="L19" s="28">
        <v>0.70833333333333304</v>
      </c>
      <c r="M19" s="27">
        <f>IFERROR(IF(OR(K19="",L19=""),"",IF($C19="평일",MIN(8,MAX(0,(L19-K19)*24-'1.설정(통합)'!$C$14)),0)),"")</f>
        <v>8</v>
      </c>
      <c r="N19" s="27">
        <f>IFERROR(IF(OR(K19="",L19="",$C19="휴일"),"",IF((L19-K19)*24-'1.설정(통합)'!$C$14&gt;8,(L19-K19)*24-'1.설정(통합)'!$C$14-8,0)),"")</f>
        <v>0</v>
      </c>
      <c r="O19" s="27" t="str">
        <f>IFERROR(IF(OR(K19="",L19="",$C19="평일"),"",MIN(8,MAX(0,(L19-K19)*24-'1.설정(통합)'!$C$14))),"")</f>
        <v/>
      </c>
      <c r="P19" s="27" t="str">
        <f>IFERROR(IF(OR(K19="",L19="",$C19="평일"),"",IF((L19-K19)*24-'1.설정(통합)'!$C$14&gt;8,(L19-K19)*24-'1.설정(통합)'!$C$14-8,0)),"")</f>
        <v/>
      </c>
      <c r="Q19" s="27">
        <f t="shared" si="2"/>
        <v>0</v>
      </c>
      <c r="R19" s="28">
        <v>0.33333333333333298</v>
      </c>
      <c r="S19" s="28">
        <v>0.70833333333333304</v>
      </c>
      <c r="T19" s="27">
        <f>IFERROR(IF(OR(R19="",S19=""),"",IF($C19="평일",MIN(8,MAX(0,(S19-R19)*24-'1.설정(통합)'!$D$14)),0)),"")</f>
        <v>8</v>
      </c>
      <c r="U19" s="27">
        <f>IFERROR(IF(OR(R19="",S19="",$C19="휴일"),"",IF((S19-R19)*24-'1.설정(통합)'!$D$14&gt;8,(S19-R19)*24-'1.설정(통합)'!$D$14-8,0)),"")</f>
        <v>0</v>
      </c>
      <c r="V19" s="27" t="str">
        <f>IFERROR(IF(OR(R19="",S19="",$C19="평일"),"",MIN(8,MAX(0,(S19-R19)*24-'1.설정(통합)'!$D$14))),"")</f>
        <v/>
      </c>
      <c r="W19" s="27" t="str">
        <f>IFERROR(IF(OR(R19="",S19="",$C19="평일"),"",IF((S19-R19)*24-'1.설정(통합)'!$D$14&gt;8,(S19-R19)*24-'1.설정(통합)'!$D$14-8,0)),"")</f>
        <v/>
      </c>
      <c r="X19" s="27">
        <f t="shared" si="3"/>
        <v>0</v>
      </c>
      <c r="Y19" s="28">
        <v>0.33333333333333298</v>
      </c>
      <c r="Z19" s="28">
        <v>0.70833333333333304</v>
      </c>
      <c r="AA19" s="27">
        <f>IFERROR(IF(OR(Y19="",Z19=""),"",IF($C19="평일",MIN(8,MAX(0,(Z19-Y19)*24-'1.설정(통합)'!$E$14)),0)),"")</f>
        <v>8</v>
      </c>
      <c r="AB19" s="27">
        <f>IFERROR(IF(OR(Y19="",Z19="",$C19="휴일"),"",IF((Z19-Y19)*24-'1.설정(통합)'!$E$14&gt;8,(Z19-Y19)*24-'1.설정(통합)'!$E$14-8,0)),"")</f>
        <v>0</v>
      </c>
      <c r="AC19" s="27" t="str">
        <f>IFERROR(IF(OR(Y19="",Z19="",$C19="평일"),"",MIN(8,MAX(0,(Z19-Y19)*24-'1.설정(통합)'!$E$14))),"")</f>
        <v/>
      </c>
      <c r="AD19" s="27" t="str">
        <f>IFERROR(IF(OR(Y19="",Z19="",$C19="평일"),"",IF((Z19-Y19)*24-'1.설정(통합)'!$E$14&gt;8,(Z19-Y19)*24-'1.설정(통합)'!$E$14-8,0)),"")</f>
        <v/>
      </c>
      <c r="AE19" s="27">
        <f t="shared" si="4"/>
        <v>0</v>
      </c>
      <c r="AF19" s="28">
        <v>0.33333333333333298</v>
      </c>
      <c r="AG19" s="28">
        <v>0.70833333333333304</v>
      </c>
      <c r="AH19" s="27">
        <f>IFERROR(IF(OR(AF19="",AG19=""),"",IF($C19="평일",MIN(8,MAX(0,(AG19-AF19)*24-'1.설정(통합)'!$F$14)),0)),"")</f>
        <v>8</v>
      </c>
      <c r="AI19" s="27">
        <f>IFERROR(IF(OR(AF19="",AG19="",$C19="휴일"),"",IF((AG19-AF19)*24-'1.설정(통합)'!$F$14&gt;8,(AG19-AF19)*24-'1.설정(통합)'!$F$14-8,0)),"")</f>
        <v>0</v>
      </c>
      <c r="AJ19" s="27" t="str">
        <f>IFERROR(IF(OR(AF19="",AG19="",$C19="평일"),"",MIN(8,MAX(0,(AG19-AF19)*24-'1.설정(통합)'!$F$14))),"")</f>
        <v/>
      </c>
      <c r="AK19" s="27" t="str">
        <f>IFERROR(IF(OR(AF19="",AG19="",$C19="평일"),"",IF((AG19-AF19)*24-'1.설정(통합)'!$F$14&gt;8,(AG19-AF19)*24-'1.설정(통합)'!$F$14-8,0)),"")</f>
        <v/>
      </c>
      <c r="AL19" s="27">
        <f t="shared" si="5"/>
        <v>0</v>
      </c>
    </row>
    <row r="20" spans="1:38" ht="15.75" customHeight="1">
      <c r="A20" s="26">
        <f>IFERROR(IF(DAY(DATE(2000+$F$1,$H$1+1,0))&lt;17,"",DATE(2000+$F$1,$H$1,17)),"")</f>
        <v>46129</v>
      </c>
      <c r="B20" s="27" t="str">
        <f t="shared" si="0"/>
        <v>금</v>
      </c>
      <c r="C20" s="27" t="str">
        <f>IF(A20="","",IF(OR(WEEKDAY(A20,2)&gt;5,COUNTIF('2.공휴일리스트'!$A$2:$A$1000,A20)&gt;0),"휴일","평일"))</f>
        <v>평일</v>
      </c>
      <c r="D20" s="28">
        <v>0.33333333333333298</v>
      </c>
      <c r="E20" s="28">
        <v>0.70833333333333304</v>
      </c>
      <c r="F20" s="27">
        <f>IFERROR(IF(OR(D20="",E20=""),"",IF($C20="평일",MIN(8,MAX(0,(E20-D20)*24-'1.설정(통합)'!$B$14)),0)),"")</f>
        <v>8</v>
      </c>
      <c r="G20" s="27">
        <f>IFERROR(IF(OR(D20="",E20="",$C20="휴일"),"",IF((E20-D20)*24-'1.설정(통합)'!$B$14&gt;8,(E20-D20)*24-'1.설정(통합)'!$B$14-8,0)),"")</f>
        <v>0</v>
      </c>
      <c r="H20" s="27" t="str">
        <f>IFERROR(IF(OR(D20="",E20="",$C20="평일"),"",MIN(8,MAX(0,(E20-D20)*24-'1.설정(통합)'!$B$14))),"")</f>
        <v/>
      </c>
      <c r="I20" s="27" t="str">
        <f>IFERROR(IF(OR(D20="",E20="",$C20="평일"),"",IF((E20-D20)*24-'1.설정(통합)'!$B$14&gt;8,(E20-D20)*24-'1.설정(통합)'!$B$14-8,0)),"")</f>
        <v/>
      </c>
      <c r="J20" s="27">
        <f t="shared" si="1"/>
        <v>0</v>
      </c>
      <c r="K20" s="28">
        <v>0.33333333333333298</v>
      </c>
      <c r="L20" s="28">
        <v>0.70833333333333304</v>
      </c>
      <c r="M20" s="27">
        <f>IFERROR(IF(OR(K20="",L20=""),"",IF($C20="평일",MIN(8,MAX(0,(L20-K20)*24-'1.설정(통합)'!$C$14)),0)),"")</f>
        <v>8</v>
      </c>
      <c r="N20" s="27">
        <f>IFERROR(IF(OR(K20="",L20="",$C20="휴일"),"",IF((L20-K20)*24-'1.설정(통합)'!$C$14&gt;8,(L20-K20)*24-'1.설정(통합)'!$C$14-8,0)),"")</f>
        <v>0</v>
      </c>
      <c r="O20" s="27" t="str">
        <f>IFERROR(IF(OR(K20="",L20="",$C20="평일"),"",MIN(8,MAX(0,(L20-K20)*24-'1.설정(통합)'!$C$14))),"")</f>
        <v/>
      </c>
      <c r="P20" s="27" t="str">
        <f>IFERROR(IF(OR(K20="",L20="",$C20="평일"),"",IF((L20-K20)*24-'1.설정(통합)'!$C$14&gt;8,(L20-K20)*24-'1.설정(통합)'!$C$14-8,0)),"")</f>
        <v/>
      </c>
      <c r="Q20" s="27">
        <f t="shared" si="2"/>
        <v>0</v>
      </c>
      <c r="R20" s="28">
        <v>0.33333333333333298</v>
      </c>
      <c r="S20" s="28">
        <v>0.70833333333333304</v>
      </c>
      <c r="T20" s="27">
        <f>IFERROR(IF(OR(R20="",S20=""),"",IF($C20="평일",MIN(8,MAX(0,(S20-R20)*24-'1.설정(통합)'!$D$14)),0)),"")</f>
        <v>8</v>
      </c>
      <c r="U20" s="27">
        <f>IFERROR(IF(OR(R20="",S20="",$C20="휴일"),"",IF((S20-R20)*24-'1.설정(통합)'!$D$14&gt;8,(S20-R20)*24-'1.설정(통합)'!$D$14-8,0)),"")</f>
        <v>0</v>
      </c>
      <c r="V20" s="27" t="str">
        <f>IFERROR(IF(OR(R20="",S20="",$C20="평일"),"",MIN(8,MAX(0,(S20-R20)*24-'1.설정(통합)'!$D$14))),"")</f>
        <v/>
      </c>
      <c r="W20" s="27" t="str">
        <f>IFERROR(IF(OR(R20="",S20="",$C20="평일"),"",IF((S20-R20)*24-'1.설정(통합)'!$D$14&gt;8,(S20-R20)*24-'1.설정(통합)'!$D$14-8,0)),"")</f>
        <v/>
      </c>
      <c r="X20" s="27">
        <f t="shared" si="3"/>
        <v>0</v>
      </c>
      <c r="Y20" s="28">
        <v>0.33333333333333298</v>
      </c>
      <c r="Z20" s="28">
        <v>0.8125</v>
      </c>
      <c r="AA20" s="27">
        <f>IFERROR(IF(OR(Y20="",Z20=""),"",IF($C20="평일",MIN(8,MAX(0,(Z20-Y20)*24-'1.설정(통합)'!$E$14)),0)),"")</f>
        <v>8</v>
      </c>
      <c r="AB20" s="27">
        <f>IFERROR(IF(OR(Y20="",Z20="",$C20="휴일"),"",IF((Z20-Y20)*24-'1.설정(통합)'!$E$14&gt;8,(Z20-Y20)*24-'1.설정(통합)'!$E$14-8,0)),"")</f>
        <v>2.5000000000000089</v>
      </c>
      <c r="AC20" s="27" t="str">
        <f>IFERROR(IF(OR(Y20="",Z20="",$C20="평일"),"",MIN(8,MAX(0,(Z20-Y20)*24-'1.설정(통합)'!$E$14))),"")</f>
        <v/>
      </c>
      <c r="AD20" s="27" t="str">
        <f>IFERROR(IF(OR(Y20="",Z20="",$C20="평일"),"",IF((Z20-Y20)*24-'1.설정(통합)'!$E$14&gt;8,(Z20-Y20)*24-'1.설정(통합)'!$E$14-8,0)),"")</f>
        <v/>
      </c>
      <c r="AE20" s="27">
        <f t="shared" si="4"/>
        <v>0</v>
      </c>
      <c r="AF20" s="28">
        <v>0.33333333333333298</v>
      </c>
      <c r="AG20" s="28">
        <v>0.70833333333333304</v>
      </c>
      <c r="AH20" s="27">
        <f>IFERROR(IF(OR(AF20="",AG20=""),"",IF($C20="평일",MIN(8,MAX(0,(AG20-AF20)*24-'1.설정(통합)'!$F$14)),0)),"")</f>
        <v>8</v>
      </c>
      <c r="AI20" s="27">
        <f>IFERROR(IF(OR(AF20="",AG20="",$C20="휴일"),"",IF((AG20-AF20)*24-'1.설정(통합)'!$F$14&gt;8,(AG20-AF20)*24-'1.설정(통합)'!$F$14-8,0)),"")</f>
        <v>0</v>
      </c>
      <c r="AJ20" s="27" t="str">
        <f>IFERROR(IF(OR(AF20="",AG20="",$C20="평일"),"",MIN(8,MAX(0,(AG20-AF20)*24-'1.설정(통합)'!$F$14))),"")</f>
        <v/>
      </c>
      <c r="AK20" s="27" t="str">
        <f>IFERROR(IF(OR(AF20="",AG20="",$C20="평일"),"",IF((AG20-AF20)*24-'1.설정(통합)'!$F$14&gt;8,(AG20-AF20)*24-'1.설정(통합)'!$F$14-8,0)),"")</f>
        <v/>
      </c>
      <c r="AL20" s="27">
        <f t="shared" si="5"/>
        <v>0</v>
      </c>
    </row>
    <row r="21" spans="1:38" ht="15.75" customHeight="1">
      <c r="A21" s="26">
        <f>IFERROR(IF(DAY(DATE(2000+$F$1,$H$1+1,0))&lt;18,"",DATE(2000+$F$1,$H$1,18)),"")</f>
        <v>46130</v>
      </c>
      <c r="B21" s="27" t="str">
        <f t="shared" si="0"/>
        <v>토</v>
      </c>
      <c r="C21" s="27" t="str">
        <f>IF(A21="","",IF(OR(WEEKDAY(A21,2)&gt;5,COUNTIF('2.공휴일리스트'!$A$2:$A$1000,A21)&gt;0),"휴일","평일"))</f>
        <v>휴일</v>
      </c>
      <c r="D21" s="28">
        <v>0.33333333333333298</v>
      </c>
      <c r="E21" s="28">
        <v>0.66666666666666696</v>
      </c>
      <c r="F21" s="27">
        <f>IFERROR(IF(OR(D21="",E21=""),"",IF($C21="평일",MIN(8,MAX(0,(E21-D21)*24-'1.설정(통합)'!$B$14)),0)),"")</f>
        <v>0</v>
      </c>
      <c r="G21" s="27" t="str">
        <f>IFERROR(IF(OR(D21="",E21="",$C21="휴일"),"",IF((E21-D21)*24-'1.설정(통합)'!$B$14&gt;8,(E21-D21)*24-'1.설정(통합)'!$B$14-8,0)),"")</f>
        <v/>
      </c>
      <c r="H21" s="27">
        <f>IFERROR(IF(OR(D21="",E21="",$C21="평일"),"",MIN(8,MAX(0,(E21-D21)*24-'1.설정(통합)'!$B$14))),"")</f>
        <v>7.000000000000016</v>
      </c>
      <c r="I21" s="27">
        <f>IFERROR(IF(OR(D21="",E21="",$C21="평일"),"",IF((E21-D21)*24-'1.설정(통합)'!$B$14&gt;8,(E21-D21)*24-'1.설정(통합)'!$B$14-8,0)),"")</f>
        <v>0</v>
      </c>
      <c r="J21" s="27">
        <f t="shared" si="1"/>
        <v>0</v>
      </c>
      <c r="K21" s="28">
        <v>0.33333333333333298</v>
      </c>
      <c r="L21" s="28">
        <v>0.66666666666666696</v>
      </c>
      <c r="M21" s="27">
        <f>IFERROR(IF(OR(K21="",L21=""),"",IF($C21="평일",MIN(8,MAX(0,(L21-K21)*24-'1.설정(통합)'!$C$14)),0)),"")</f>
        <v>0</v>
      </c>
      <c r="N21" s="27" t="str">
        <f>IFERROR(IF(OR(K21="",L21="",$C21="휴일"),"",IF((L21-K21)*24-'1.설정(통합)'!$C$14&gt;8,(L21-K21)*24-'1.설정(통합)'!$C$14-8,0)),"")</f>
        <v/>
      </c>
      <c r="O21" s="27">
        <f>IFERROR(IF(OR(K21="",L21="",$C21="평일"),"",MIN(8,MAX(0,(L21-K21)*24-'1.설정(통합)'!$C$14))),"")</f>
        <v>7.000000000000016</v>
      </c>
      <c r="P21" s="27">
        <f>IFERROR(IF(OR(K21="",L21="",$C21="평일"),"",IF((L21-K21)*24-'1.설정(통합)'!$C$14&gt;8,(L21-K21)*24-'1.설정(통합)'!$C$14-8,0)),"")</f>
        <v>0</v>
      </c>
      <c r="Q21" s="27">
        <f t="shared" si="2"/>
        <v>0</v>
      </c>
      <c r="R21" s="28">
        <v>0.33333333333333298</v>
      </c>
      <c r="S21" s="28">
        <v>0.66666666666666696</v>
      </c>
      <c r="T21" s="27">
        <f>IFERROR(IF(OR(R21="",S21=""),"",IF($C21="평일",MIN(8,MAX(0,(S21-R21)*24-'1.설정(통합)'!$D$14)),0)),"")</f>
        <v>0</v>
      </c>
      <c r="U21" s="27" t="str">
        <f>IFERROR(IF(OR(R21="",S21="",$C21="휴일"),"",IF((S21-R21)*24-'1.설정(통합)'!$D$14&gt;8,(S21-R21)*24-'1.설정(통합)'!$D$14-8,0)),"")</f>
        <v/>
      </c>
      <c r="V21" s="27">
        <f>IFERROR(IF(OR(R21="",S21="",$C21="평일"),"",MIN(8,MAX(0,(S21-R21)*24-'1.설정(통합)'!$D$14))),"")</f>
        <v>7.000000000000016</v>
      </c>
      <c r="W21" s="27">
        <f>IFERROR(IF(OR(R21="",S21="",$C21="평일"),"",IF((S21-R21)*24-'1.설정(통합)'!$D$14&gt;8,(S21-R21)*24-'1.설정(통합)'!$D$14-8,0)),"")</f>
        <v>0</v>
      </c>
      <c r="X21" s="27">
        <f t="shared" si="3"/>
        <v>0</v>
      </c>
      <c r="Y21" s="28">
        <v>0.33333333333333298</v>
      </c>
      <c r="Z21" s="28">
        <v>0.66666666666666696</v>
      </c>
      <c r="AA21" s="27">
        <f>IFERROR(IF(OR(Y21="",Z21=""),"",IF($C21="평일",MIN(8,MAX(0,(Z21-Y21)*24-'1.설정(통합)'!$E$14)),0)),"")</f>
        <v>0</v>
      </c>
      <c r="AB21" s="27" t="str">
        <f>IFERROR(IF(OR(Y21="",Z21="",$C21="휴일"),"",IF((Z21-Y21)*24-'1.설정(통합)'!$E$14&gt;8,(Z21-Y21)*24-'1.설정(통합)'!$E$14-8,0)),"")</f>
        <v/>
      </c>
      <c r="AC21" s="27">
        <f>IFERROR(IF(OR(Y21="",Z21="",$C21="평일"),"",MIN(8,MAX(0,(Z21-Y21)*24-'1.설정(통합)'!$E$14))),"")</f>
        <v>7.000000000000016</v>
      </c>
      <c r="AD21" s="27">
        <f>IFERROR(IF(OR(Y21="",Z21="",$C21="평일"),"",IF((Z21-Y21)*24-'1.설정(통합)'!$E$14&gt;8,(Z21-Y21)*24-'1.설정(통합)'!$E$14-8,0)),"")</f>
        <v>0</v>
      </c>
      <c r="AE21" s="27">
        <f t="shared" si="4"/>
        <v>0</v>
      </c>
      <c r="AF21" s="28">
        <v>0.33333333333333298</v>
      </c>
      <c r="AG21" s="28">
        <v>0.66666666666666696</v>
      </c>
      <c r="AH21" s="27">
        <f>IFERROR(IF(OR(AF21="",AG21=""),"",IF($C21="평일",MIN(8,MAX(0,(AG21-AF21)*24-'1.설정(통합)'!$F$14)),0)),"")</f>
        <v>0</v>
      </c>
      <c r="AI21" s="27" t="str">
        <f>IFERROR(IF(OR(AF21="",AG21="",$C21="휴일"),"",IF((AG21-AF21)*24-'1.설정(통합)'!$F$14&gt;8,(AG21-AF21)*24-'1.설정(통합)'!$F$14-8,0)),"")</f>
        <v/>
      </c>
      <c r="AJ21" s="27">
        <f>IFERROR(IF(OR(AF21="",AG21="",$C21="평일"),"",MIN(8,MAX(0,(AG21-AF21)*24-'1.설정(통합)'!$F$14))),"")</f>
        <v>7.000000000000016</v>
      </c>
      <c r="AK21" s="27">
        <f>IFERROR(IF(OR(AF21="",AG21="",$C21="평일"),"",IF((AG21-AF21)*24-'1.설정(통합)'!$F$14&gt;8,(AG21-AF21)*24-'1.설정(통합)'!$F$14-8,0)),"")</f>
        <v>0</v>
      </c>
      <c r="AL21" s="27">
        <f t="shared" si="5"/>
        <v>0</v>
      </c>
    </row>
    <row r="22" spans="1:38" ht="15.75" customHeight="1">
      <c r="A22" s="26">
        <f>IFERROR(IF(DAY(DATE(2000+$F$1,$H$1+1,0))&lt;19,"",DATE(2000+$F$1,$H$1,19)),"")</f>
        <v>46131</v>
      </c>
      <c r="B22" s="27" t="str">
        <f t="shared" si="0"/>
        <v>일</v>
      </c>
      <c r="C22" s="27" t="str">
        <f>IF(A22="","",IF(OR(WEEKDAY(A22,2)&gt;5,COUNTIF('2.공휴일리스트'!$A$2:$A$1000,A22)&gt;0),"휴일","평일"))</f>
        <v>휴일</v>
      </c>
      <c r="D22" s="28">
        <v>0.33333333333333298</v>
      </c>
      <c r="E22" s="28">
        <v>0.64583333333333304</v>
      </c>
      <c r="F22" s="27">
        <f>IFERROR(IF(OR(D22="",E22=""),"",IF($C22="평일",MIN(8,MAX(0,(E22-D22)*24-'1.설정(통합)'!$B$14)),0)),"")</f>
        <v>0</v>
      </c>
      <c r="G22" s="27" t="str">
        <f>IFERROR(IF(OR(D22="",E22="",$C22="휴일"),"",IF((E22-D22)*24-'1.설정(통합)'!$B$14&gt;8,(E22-D22)*24-'1.설정(통합)'!$B$14-8,0)),"")</f>
        <v/>
      </c>
      <c r="H22" s="27">
        <f>IFERROR(IF(OR(D22="",E22="",$C22="평일"),"",MIN(8,MAX(0,(E22-D22)*24-'1.설정(통합)'!$B$14))),"")</f>
        <v>6.5000000000000018</v>
      </c>
      <c r="I22" s="27">
        <f>IFERROR(IF(OR(D22="",E22="",$C22="평일"),"",IF((E22-D22)*24-'1.설정(통합)'!$B$14&gt;8,(E22-D22)*24-'1.설정(통합)'!$B$14-8,0)),"")</f>
        <v>0</v>
      </c>
      <c r="J22" s="27">
        <f t="shared" si="1"/>
        <v>0</v>
      </c>
      <c r="K22" s="28">
        <v>0.33333333333333298</v>
      </c>
      <c r="L22" s="28">
        <v>0.64583333333333304</v>
      </c>
      <c r="M22" s="27">
        <f>IFERROR(IF(OR(K22="",L22=""),"",IF($C22="평일",MIN(8,MAX(0,(L22-K22)*24-'1.설정(통합)'!$C$14)),0)),"")</f>
        <v>0</v>
      </c>
      <c r="N22" s="27" t="str">
        <f>IFERROR(IF(OR(K22="",L22="",$C22="휴일"),"",IF((L22-K22)*24-'1.설정(통합)'!$C$14&gt;8,(L22-K22)*24-'1.설정(통합)'!$C$14-8,0)),"")</f>
        <v/>
      </c>
      <c r="O22" s="27">
        <f>IFERROR(IF(OR(K22="",L22="",$C22="평일"),"",MIN(8,MAX(0,(L22-K22)*24-'1.설정(통합)'!$C$14))),"")</f>
        <v>6.5000000000000018</v>
      </c>
      <c r="P22" s="27">
        <f>IFERROR(IF(OR(K22="",L22="",$C22="평일"),"",IF((L22-K22)*24-'1.설정(통합)'!$C$14&gt;8,(L22-K22)*24-'1.설정(통합)'!$C$14-8,0)),"")</f>
        <v>0</v>
      </c>
      <c r="Q22" s="27">
        <f t="shared" si="2"/>
        <v>0</v>
      </c>
      <c r="R22" s="28">
        <v>0.33333333333333298</v>
      </c>
      <c r="S22" s="28">
        <v>0.64583333333333304</v>
      </c>
      <c r="T22" s="27">
        <f>IFERROR(IF(OR(R22="",S22=""),"",IF($C22="평일",MIN(8,MAX(0,(S22-R22)*24-'1.설정(통합)'!$D$14)),0)),"")</f>
        <v>0</v>
      </c>
      <c r="U22" s="27" t="str">
        <f>IFERROR(IF(OR(R22="",S22="",$C22="휴일"),"",IF((S22-R22)*24-'1.설정(통합)'!$D$14&gt;8,(S22-R22)*24-'1.설정(통합)'!$D$14-8,0)),"")</f>
        <v/>
      </c>
      <c r="V22" s="27">
        <f>IFERROR(IF(OR(R22="",S22="",$C22="평일"),"",MIN(8,MAX(0,(S22-R22)*24-'1.설정(통합)'!$D$14))),"")</f>
        <v>6.5000000000000018</v>
      </c>
      <c r="W22" s="27">
        <f>IFERROR(IF(OR(R22="",S22="",$C22="평일"),"",IF((S22-R22)*24-'1.설정(통합)'!$D$14&gt;8,(S22-R22)*24-'1.설정(통합)'!$D$14-8,0)),"")</f>
        <v>0</v>
      </c>
      <c r="X22" s="27">
        <f t="shared" si="3"/>
        <v>0</v>
      </c>
      <c r="Y22" s="28">
        <v>0.33333333333333298</v>
      </c>
      <c r="Z22" s="28">
        <v>0.64583333333333304</v>
      </c>
      <c r="AA22" s="27">
        <f>IFERROR(IF(OR(Y22="",Z22=""),"",IF($C22="평일",MIN(8,MAX(0,(Z22-Y22)*24-'1.설정(통합)'!$E$14)),0)),"")</f>
        <v>0</v>
      </c>
      <c r="AB22" s="27" t="str">
        <f>IFERROR(IF(OR(Y22="",Z22="",$C22="휴일"),"",IF((Z22-Y22)*24-'1.설정(통합)'!$E$14&gt;8,(Z22-Y22)*24-'1.설정(통합)'!$E$14-8,0)),"")</f>
        <v/>
      </c>
      <c r="AC22" s="27">
        <f>IFERROR(IF(OR(Y22="",Z22="",$C22="평일"),"",MIN(8,MAX(0,(Z22-Y22)*24-'1.설정(통합)'!$E$14))),"")</f>
        <v>6.5000000000000018</v>
      </c>
      <c r="AD22" s="27">
        <f>IFERROR(IF(OR(Y22="",Z22="",$C22="평일"),"",IF((Z22-Y22)*24-'1.설정(통합)'!$E$14&gt;8,(Z22-Y22)*24-'1.설정(통합)'!$E$14-8,0)),"")</f>
        <v>0</v>
      </c>
      <c r="AE22" s="27">
        <f t="shared" si="4"/>
        <v>0</v>
      </c>
      <c r="AF22" s="28">
        <v>0.33333333333333298</v>
      </c>
      <c r="AG22" s="28">
        <v>0.64583333333333304</v>
      </c>
      <c r="AH22" s="27">
        <f>IFERROR(IF(OR(AF22="",AG22=""),"",IF($C22="평일",MIN(8,MAX(0,(AG22-AF22)*24-'1.설정(통합)'!$F$14)),0)),"")</f>
        <v>0</v>
      </c>
      <c r="AI22" s="27" t="str">
        <f>IFERROR(IF(OR(AF22="",AG22="",$C22="휴일"),"",IF((AG22-AF22)*24-'1.설정(통합)'!$F$14&gt;8,(AG22-AF22)*24-'1.설정(통합)'!$F$14-8,0)),"")</f>
        <v/>
      </c>
      <c r="AJ22" s="27">
        <f>IFERROR(IF(OR(AF22="",AG22="",$C22="평일"),"",MIN(8,MAX(0,(AG22-AF22)*24-'1.설정(통합)'!$F$14))),"")</f>
        <v>6.5000000000000018</v>
      </c>
      <c r="AK22" s="27">
        <f>IFERROR(IF(OR(AF22="",AG22="",$C22="평일"),"",IF((AG22-AF22)*24-'1.설정(통합)'!$F$14&gt;8,(AG22-AF22)*24-'1.설정(통합)'!$F$14-8,0)),"")</f>
        <v>0</v>
      </c>
      <c r="AL22" s="27">
        <f t="shared" si="5"/>
        <v>0</v>
      </c>
    </row>
    <row r="23" spans="1:38" ht="15.75" customHeight="1">
      <c r="A23" s="26">
        <f>IFERROR(IF(DAY(DATE(2000+$F$1,$H$1+1,0))&lt;20,"",DATE(2000+$F$1,$H$1,20)),"")</f>
        <v>46132</v>
      </c>
      <c r="B23" s="27" t="str">
        <f t="shared" si="0"/>
        <v>월</v>
      </c>
      <c r="C23" s="27" t="str">
        <f>IF(A23="","",IF(OR(WEEKDAY(A23,2)&gt;5,COUNTIF('2.공휴일리스트'!$A$2:$A$1000,A23)&gt;0),"휴일","평일"))</f>
        <v>평일</v>
      </c>
      <c r="D23" s="28">
        <v>0.33333333333333298</v>
      </c>
      <c r="E23" s="28">
        <v>0.70833333333333304</v>
      </c>
      <c r="F23" s="27">
        <f>IFERROR(IF(OR(D23="",E23=""),"",IF($C23="평일",MIN(8,MAX(0,(E23-D23)*24-'1.설정(통합)'!$B$14)),0)),"")</f>
        <v>8</v>
      </c>
      <c r="G23" s="27">
        <f>IFERROR(IF(OR(D23="",E23="",$C23="휴일"),"",IF((E23-D23)*24-'1.설정(통합)'!$B$14&gt;8,(E23-D23)*24-'1.설정(통합)'!$B$14-8,0)),"")</f>
        <v>0</v>
      </c>
      <c r="H23" s="27" t="str">
        <f>IFERROR(IF(OR(D23="",E23="",$C23="평일"),"",MIN(8,MAX(0,(E23-D23)*24-'1.설정(통합)'!$B$14))),"")</f>
        <v/>
      </c>
      <c r="I23" s="27" t="str">
        <f>IFERROR(IF(OR(D23="",E23="",$C23="평일"),"",IF((E23-D23)*24-'1.설정(통합)'!$B$14&gt;8,(E23-D23)*24-'1.설정(통합)'!$B$14-8,0)),"")</f>
        <v/>
      </c>
      <c r="J23" s="27">
        <f t="shared" si="1"/>
        <v>0</v>
      </c>
      <c r="K23" s="28">
        <v>0.33333333333333298</v>
      </c>
      <c r="L23" s="28">
        <v>0.70833333333333304</v>
      </c>
      <c r="M23" s="27">
        <f>IFERROR(IF(OR(K23="",L23=""),"",IF($C23="평일",MIN(8,MAX(0,(L23-K23)*24-'1.설정(통합)'!$C$14)),0)),"")</f>
        <v>8</v>
      </c>
      <c r="N23" s="27">
        <f>IFERROR(IF(OR(K23="",L23="",$C23="휴일"),"",IF((L23-K23)*24-'1.설정(통합)'!$C$14&gt;8,(L23-K23)*24-'1.설정(통합)'!$C$14-8,0)),"")</f>
        <v>0</v>
      </c>
      <c r="O23" s="27" t="str">
        <f>IFERROR(IF(OR(K23="",L23="",$C23="평일"),"",MIN(8,MAX(0,(L23-K23)*24-'1.설정(통합)'!$C$14))),"")</f>
        <v/>
      </c>
      <c r="P23" s="27" t="str">
        <f>IFERROR(IF(OR(K23="",L23="",$C23="평일"),"",IF((L23-K23)*24-'1.설정(통합)'!$C$14&gt;8,(L23-K23)*24-'1.설정(통합)'!$C$14-8,0)),"")</f>
        <v/>
      </c>
      <c r="Q23" s="27">
        <f t="shared" si="2"/>
        <v>0</v>
      </c>
      <c r="R23" s="28">
        <v>0.33333333333333298</v>
      </c>
      <c r="S23" s="28">
        <v>0.70833333333333304</v>
      </c>
      <c r="T23" s="27">
        <f>IFERROR(IF(OR(R23="",S23=""),"",IF($C23="평일",MIN(8,MAX(0,(S23-R23)*24-'1.설정(통합)'!$D$14)),0)),"")</f>
        <v>8</v>
      </c>
      <c r="U23" s="27">
        <f>IFERROR(IF(OR(R23="",S23="",$C23="휴일"),"",IF((S23-R23)*24-'1.설정(통합)'!$D$14&gt;8,(S23-R23)*24-'1.설정(통합)'!$D$14-8,0)),"")</f>
        <v>0</v>
      </c>
      <c r="V23" s="27" t="str">
        <f>IFERROR(IF(OR(R23="",S23="",$C23="평일"),"",MIN(8,MAX(0,(S23-R23)*24-'1.설정(통합)'!$D$14))),"")</f>
        <v/>
      </c>
      <c r="W23" s="27" t="str">
        <f>IFERROR(IF(OR(R23="",S23="",$C23="평일"),"",IF((S23-R23)*24-'1.설정(통합)'!$D$14&gt;8,(S23-R23)*24-'1.설정(통합)'!$D$14-8,0)),"")</f>
        <v/>
      </c>
      <c r="X23" s="27">
        <f t="shared" si="3"/>
        <v>0</v>
      </c>
      <c r="Y23" s="28">
        <v>0.33333333333333298</v>
      </c>
      <c r="Z23" s="28">
        <v>0.70833333333333304</v>
      </c>
      <c r="AA23" s="27">
        <f>IFERROR(IF(OR(Y23="",Z23=""),"",IF($C23="평일",MIN(8,MAX(0,(Z23-Y23)*24-'1.설정(통합)'!$E$14)),0)),"")</f>
        <v>8</v>
      </c>
      <c r="AB23" s="27">
        <f>IFERROR(IF(OR(Y23="",Z23="",$C23="휴일"),"",IF((Z23-Y23)*24-'1.설정(통합)'!$E$14&gt;8,(Z23-Y23)*24-'1.설정(통합)'!$E$14-8,0)),"")</f>
        <v>0</v>
      </c>
      <c r="AC23" s="27" t="str">
        <f>IFERROR(IF(OR(Y23="",Z23="",$C23="평일"),"",MIN(8,MAX(0,(Z23-Y23)*24-'1.설정(통합)'!$E$14))),"")</f>
        <v/>
      </c>
      <c r="AD23" s="27" t="str">
        <f>IFERROR(IF(OR(Y23="",Z23="",$C23="평일"),"",IF((Z23-Y23)*24-'1.설정(통합)'!$E$14&gt;8,(Z23-Y23)*24-'1.설정(통합)'!$E$14-8,0)),"")</f>
        <v/>
      </c>
      <c r="AE23" s="27">
        <f t="shared" si="4"/>
        <v>0</v>
      </c>
      <c r="AF23" s="28">
        <v>0.33333333333333298</v>
      </c>
      <c r="AG23" s="28">
        <v>0.70833333333333304</v>
      </c>
      <c r="AH23" s="27">
        <f>IFERROR(IF(OR(AF23="",AG23=""),"",IF($C23="평일",MIN(8,MAX(0,(AG23-AF23)*24-'1.설정(통합)'!$F$14)),0)),"")</f>
        <v>8</v>
      </c>
      <c r="AI23" s="27">
        <f>IFERROR(IF(OR(AF23="",AG23="",$C23="휴일"),"",IF((AG23-AF23)*24-'1.설정(통합)'!$F$14&gt;8,(AG23-AF23)*24-'1.설정(통합)'!$F$14-8,0)),"")</f>
        <v>0</v>
      </c>
      <c r="AJ23" s="27" t="str">
        <f>IFERROR(IF(OR(AF23="",AG23="",$C23="평일"),"",MIN(8,MAX(0,(AG23-AF23)*24-'1.설정(통합)'!$F$14))),"")</f>
        <v/>
      </c>
      <c r="AK23" s="27" t="str">
        <f>IFERROR(IF(OR(AF23="",AG23="",$C23="평일"),"",IF((AG23-AF23)*24-'1.설정(통합)'!$F$14&gt;8,(AG23-AF23)*24-'1.설정(통합)'!$F$14-8,0)),"")</f>
        <v/>
      </c>
      <c r="AL23" s="27">
        <f t="shared" si="5"/>
        <v>0</v>
      </c>
    </row>
    <row r="24" spans="1:38" ht="15.75" customHeight="1">
      <c r="A24" s="26">
        <f>IFERROR(IF(DAY(DATE(2000+$F$1,$H$1+1,0))&lt;21,"",DATE(2000+$F$1,$H$1,21)),"")</f>
        <v>46133</v>
      </c>
      <c r="B24" s="27" t="str">
        <f t="shared" si="0"/>
        <v>화</v>
      </c>
      <c r="C24" s="27" t="str">
        <f>IF(A24="","",IF(OR(WEEKDAY(A24,2)&gt;5,COUNTIF('2.공휴일리스트'!$A$2:$A$1000,A24)&gt;0),"휴일","평일"))</f>
        <v>평일</v>
      </c>
      <c r="D24" s="28">
        <v>0.33333333333333298</v>
      </c>
      <c r="E24" s="28">
        <v>0.70833333333333304</v>
      </c>
      <c r="F24" s="27">
        <f>IFERROR(IF(OR(D24="",E24=""),"",IF($C24="평일",MIN(8,MAX(0,(E24-D24)*24-'1.설정(통합)'!$B$14)),0)),"")</f>
        <v>8</v>
      </c>
      <c r="G24" s="27">
        <f>IFERROR(IF(OR(D24="",E24="",$C24="휴일"),"",IF((E24-D24)*24-'1.설정(통합)'!$B$14&gt;8,(E24-D24)*24-'1.설정(통합)'!$B$14-8,0)),"")</f>
        <v>0</v>
      </c>
      <c r="H24" s="27" t="str">
        <f>IFERROR(IF(OR(D24="",E24="",$C24="평일"),"",MIN(8,MAX(0,(E24-D24)*24-'1.설정(통합)'!$B$14))),"")</f>
        <v/>
      </c>
      <c r="I24" s="27" t="str">
        <f>IFERROR(IF(OR(D24="",E24="",$C24="평일"),"",IF((E24-D24)*24-'1.설정(통합)'!$B$14&gt;8,(E24-D24)*24-'1.설정(통합)'!$B$14-8,0)),"")</f>
        <v/>
      </c>
      <c r="J24" s="27">
        <f t="shared" si="1"/>
        <v>0</v>
      </c>
      <c r="K24" s="28">
        <v>0.33333333333333298</v>
      </c>
      <c r="L24" s="28">
        <v>0.70833333333333304</v>
      </c>
      <c r="M24" s="27">
        <f>IFERROR(IF(OR(K24="",L24=""),"",IF($C24="평일",MIN(8,MAX(0,(L24-K24)*24-'1.설정(통합)'!$C$14)),0)),"")</f>
        <v>8</v>
      </c>
      <c r="N24" s="27">
        <f>IFERROR(IF(OR(K24="",L24="",$C24="휴일"),"",IF((L24-K24)*24-'1.설정(통합)'!$C$14&gt;8,(L24-K24)*24-'1.설정(통합)'!$C$14-8,0)),"")</f>
        <v>0</v>
      </c>
      <c r="O24" s="27" t="str">
        <f>IFERROR(IF(OR(K24="",L24="",$C24="평일"),"",MIN(8,MAX(0,(L24-K24)*24-'1.설정(통합)'!$C$14))),"")</f>
        <v/>
      </c>
      <c r="P24" s="27" t="str">
        <f>IFERROR(IF(OR(K24="",L24="",$C24="평일"),"",IF((L24-K24)*24-'1.설정(통합)'!$C$14&gt;8,(L24-K24)*24-'1.설정(통합)'!$C$14-8,0)),"")</f>
        <v/>
      </c>
      <c r="Q24" s="27">
        <f t="shared" si="2"/>
        <v>0</v>
      </c>
      <c r="R24" s="28">
        <v>0.33333333333333298</v>
      </c>
      <c r="S24" s="28">
        <v>0.70833333333333304</v>
      </c>
      <c r="T24" s="27">
        <f>IFERROR(IF(OR(R24="",S24=""),"",IF($C24="평일",MIN(8,MAX(0,(S24-R24)*24-'1.설정(통합)'!$D$14)),0)),"")</f>
        <v>8</v>
      </c>
      <c r="U24" s="27">
        <f>IFERROR(IF(OR(R24="",S24="",$C24="휴일"),"",IF((S24-R24)*24-'1.설정(통합)'!$D$14&gt;8,(S24-R24)*24-'1.설정(통합)'!$D$14-8,0)),"")</f>
        <v>0</v>
      </c>
      <c r="V24" s="27" t="str">
        <f>IFERROR(IF(OR(R24="",S24="",$C24="평일"),"",MIN(8,MAX(0,(S24-R24)*24-'1.설정(통합)'!$D$14))),"")</f>
        <v/>
      </c>
      <c r="W24" s="27" t="str">
        <f>IFERROR(IF(OR(R24="",S24="",$C24="평일"),"",IF((S24-R24)*24-'1.설정(통합)'!$D$14&gt;8,(S24-R24)*24-'1.설정(통합)'!$D$14-8,0)),"")</f>
        <v/>
      </c>
      <c r="X24" s="27">
        <f t="shared" si="3"/>
        <v>0</v>
      </c>
      <c r="Y24" s="28">
        <v>0.33333333333333298</v>
      </c>
      <c r="Z24" s="28">
        <v>0.70833333333333304</v>
      </c>
      <c r="AA24" s="27">
        <f>IFERROR(IF(OR(Y24="",Z24=""),"",IF($C24="평일",MIN(8,MAX(0,(Z24-Y24)*24-'1.설정(통합)'!$E$14)),0)),"")</f>
        <v>8</v>
      </c>
      <c r="AB24" s="27">
        <f>IFERROR(IF(OR(Y24="",Z24="",$C24="휴일"),"",IF((Z24-Y24)*24-'1.설정(통합)'!$E$14&gt;8,(Z24-Y24)*24-'1.설정(통합)'!$E$14-8,0)),"")</f>
        <v>0</v>
      </c>
      <c r="AC24" s="27" t="str">
        <f>IFERROR(IF(OR(Y24="",Z24="",$C24="평일"),"",MIN(8,MAX(0,(Z24-Y24)*24-'1.설정(통합)'!$E$14))),"")</f>
        <v/>
      </c>
      <c r="AD24" s="27" t="str">
        <f>IFERROR(IF(OR(Y24="",Z24="",$C24="평일"),"",IF((Z24-Y24)*24-'1.설정(통합)'!$E$14&gt;8,(Z24-Y24)*24-'1.설정(통합)'!$E$14-8,0)),"")</f>
        <v/>
      </c>
      <c r="AE24" s="27">
        <f t="shared" si="4"/>
        <v>0</v>
      </c>
      <c r="AF24" s="28">
        <v>0.33333333333333298</v>
      </c>
      <c r="AG24" s="28">
        <v>0.70833333333333304</v>
      </c>
      <c r="AH24" s="27">
        <f>IFERROR(IF(OR(AF24="",AG24=""),"",IF($C24="평일",MIN(8,MAX(0,(AG24-AF24)*24-'1.설정(통합)'!$F$14)),0)),"")</f>
        <v>8</v>
      </c>
      <c r="AI24" s="27">
        <f>IFERROR(IF(OR(AF24="",AG24="",$C24="휴일"),"",IF((AG24-AF24)*24-'1.설정(통합)'!$F$14&gt;8,(AG24-AF24)*24-'1.설정(통합)'!$F$14-8,0)),"")</f>
        <v>0</v>
      </c>
      <c r="AJ24" s="27" t="str">
        <f>IFERROR(IF(OR(AF24="",AG24="",$C24="평일"),"",MIN(8,MAX(0,(AG24-AF24)*24-'1.설정(통합)'!$F$14))),"")</f>
        <v/>
      </c>
      <c r="AK24" s="27" t="str">
        <f>IFERROR(IF(OR(AF24="",AG24="",$C24="평일"),"",IF((AG24-AF24)*24-'1.설정(통합)'!$F$14&gt;8,(AG24-AF24)*24-'1.설정(통합)'!$F$14-8,0)),"")</f>
        <v/>
      </c>
      <c r="AL24" s="27">
        <f t="shared" si="5"/>
        <v>0</v>
      </c>
    </row>
    <row r="25" spans="1:38" ht="15.75" customHeight="1">
      <c r="A25" s="26">
        <f>IFERROR(IF(DAY(DATE(2000+$F$1,$H$1+1,0))&lt;22,"",DATE(2000+$F$1,$H$1,22)),"")</f>
        <v>46134</v>
      </c>
      <c r="B25" s="27" t="str">
        <f t="shared" si="0"/>
        <v>수</v>
      </c>
      <c r="C25" s="27" t="str">
        <f>IF(A25="","",IF(OR(WEEKDAY(A25,2)&gt;5,COUNTIF('2.공휴일리스트'!$A$2:$A$1000,A25)&gt;0),"휴일","평일"))</f>
        <v>평일</v>
      </c>
      <c r="D25" s="28">
        <v>0.33333333333333298</v>
      </c>
      <c r="E25" s="28">
        <v>0.8125</v>
      </c>
      <c r="F25" s="27">
        <f>IFERROR(IF(OR(D25="",E25=""),"",IF($C25="평일",MIN(8,MAX(0,(E25-D25)*24-'1.설정(통합)'!$B$14)),0)),"")</f>
        <v>8</v>
      </c>
      <c r="G25" s="27">
        <f>IFERROR(IF(OR(D25="",E25="",$C25="휴일"),"",IF((E25-D25)*24-'1.설정(통합)'!$B$14&gt;8,(E25-D25)*24-'1.설정(통합)'!$B$14-8,0)),"")</f>
        <v>2.5000000000000089</v>
      </c>
      <c r="H25" s="27" t="str">
        <f>IFERROR(IF(OR(D25="",E25="",$C25="평일"),"",MIN(8,MAX(0,(E25-D25)*24-'1.설정(통합)'!$B$14))),"")</f>
        <v/>
      </c>
      <c r="I25" s="27" t="str">
        <f>IFERROR(IF(OR(D25="",E25="",$C25="평일"),"",IF((E25-D25)*24-'1.설정(통합)'!$B$14&gt;8,(E25-D25)*24-'1.설정(통합)'!$B$14-8,0)),"")</f>
        <v/>
      </c>
      <c r="J25" s="27">
        <f t="shared" si="1"/>
        <v>0</v>
      </c>
      <c r="K25" s="28">
        <v>0.33333333333333298</v>
      </c>
      <c r="L25" s="28">
        <v>0.8125</v>
      </c>
      <c r="M25" s="27">
        <f>IFERROR(IF(OR(K25="",L25=""),"",IF($C25="평일",MIN(8,MAX(0,(L25-K25)*24-'1.설정(통합)'!$C$14)),0)),"")</f>
        <v>8</v>
      </c>
      <c r="N25" s="27">
        <f>IFERROR(IF(OR(K25="",L25="",$C25="휴일"),"",IF((L25-K25)*24-'1.설정(통합)'!$C$14&gt;8,(L25-K25)*24-'1.설정(통합)'!$C$14-8,0)),"")</f>
        <v>2.5000000000000089</v>
      </c>
      <c r="O25" s="27" t="str">
        <f>IFERROR(IF(OR(K25="",L25="",$C25="평일"),"",MIN(8,MAX(0,(L25-K25)*24-'1.설정(통합)'!$C$14))),"")</f>
        <v/>
      </c>
      <c r="P25" s="27" t="str">
        <f>IFERROR(IF(OR(K25="",L25="",$C25="평일"),"",IF((L25-K25)*24-'1.설정(통합)'!$C$14&gt;8,(L25-K25)*24-'1.설정(통합)'!$C$14-8,0)),"")</f>
        <v/>
      </c>
      <c r="Q25" s="27">
        <f t="shared" si="2"/>
        <v>0</v>
      </c>
      <c r="R25" s="28">
        <v>0.33333333333333298</v>
      </c>
      <c r="S25" s="28">
        <v>0.8125</v>
      </c>
      <c r="T25" s="27">
        <f>IFERROR(IF(OR(R25="",S25=""),"",IF($C25="평일",MIN(8,MAX(0,(S25-R25)*24-'1.설정(통합)'!$D$14)),0)),"")</f>
        <v>8</v>
      </c>
      <c r="U25" s="27">
        <f>IFERROR(IF(OR(R25="",S25="",$C25="휴일"),"",IF((S25-R25)*24-'1.설정(통합)'!$D$14&gt;8,(S25-R25)*24-'1.설정(통합)'!$D$14-8,0)),"")</f>
        <v>2.5000000000000089</v>
      </c>
      <c r="V25" s="27" t="str">
        <f>IFERROR(IF(OR(R25="",S25="",$C25="평일"),"",MIN(8,MAX(0,(S25-R25)*24-'1.설정(통합)'!$D$14))),"")</f>
        <v/>
      </c>
      <c r="W25" s="27" t="str">
        <f>IFERROR(IF(OR(R25="",S25="",$C25="평일"),"",IF((S25-R25)*24-'1.설정(통합)'!$D$14&gt;8,(S25-R25)*24-'1.설정(통합)'!$D$14-8,0)),"")</f>
        <v/>
      </c>
      <c r="X25" s="27">
        <f t="shared" si="3"/>
        <v>0</v>
      </c>
      <c r="Y25" s="28">
        <v>0.33333333333333298</v>
      </c>
      <c r="Z25" s="28">
        <v>0.8125</v>
      </c>
      <c r="AA25" s="27">
        <f>IFERROR(IF(OR(Y25="",Z25=""),"",IF($C25="평일",MIN(8,MAX(0,(Z25-Y25)*24-'1.설정(통합)'!$E$14)),0)),"")</f>
        <v>8</v>
      </c>
      <c r="AB25" s="27">
        <f>IFERROR(IF(OR(Y25="",Z25="",$C25="휴일"),"",IF((Z25-Y25)*24-'1.설정(통합)'!$E$14&gt;8,(Z25-Y25)*24-'1.설정(통합)'!$E$14-8,0)),"")</f>
        <v>2.5000000000000089</v>
      </c>
      <c r="AC25" s="27" t="str">
        <f>IFERROR(IF(OR(Y25="",Z25="",$C25="평일"),"",MIN(8,MAX(0,(Z25-Y25)*24-'1.설정(통합)'!$E$14))),"")</f>
        <v/>
      </c>
      <c r="AD25" s="27" t="str">
        <f>IFERROR(IF(OR(Y25="",Z25="",$C25="평일"),"",IF((Z25-Y25)*24-'1.설정(통합)'!$E$14&gt;8,(Z25-Y25)*24-'1.설정(통합)'!$E$14-8,0)),"")</f>
        <v/>
      </c>
      <c r="AE25" s="27">
        <f t="shared" si="4"/>
        <v>0</v>
      </c>
      <c r="AF25" s="28">
        <v>0.33333333333333298</v>
      </c>
      <c r="AG25" s="28">
        <v>0.8125</v>
      </c>
      <c r="AH25" s="27">
        <f>IFERROR(IF(OR(AF25="",AG25=""),"",IF($C25="평일",MIN(8,MAX(0,(AG25-AF25)*24-'1.설정(통합)'!$F$14)),0)),"")</f>
        <v>8</v>
      </c>
      <c r="AI25" s="27">
        <f>IFERROR(IF(OR(AF25="",AG25="",$C25="휴일"),"",IF((AG25-AF25)*24-'1.설정(통합)'!$F$14&gt;8,(AG25-AF25)*24-'1.설정(통합)'!$F$14-8,0)),"")</f>
        <v>2.5000000000000089</v>
      </c>
      <c r="AJ25" s="27" t="str">
        <f>IFERROR(IF(OR(AF25="",AG25="",$C25="평일"),"",MIN(8,MAX(0,(AG25-AF25)*24-'1.설정(통합)'!$F$14))),"")</f>
        <v/>
      </c>
      <c r="AK25" s="27" t="str">
        <f>IFERROR(IF(OR(AF25="",AG25="",$C25="평일"),"",IF((AG25-AF25)*24-'1.설정(통합)'!$F$14&gt;8,(AG25-AF25)*24-'1.설정(통합)'!$F$14-8,0)),"")</f>
        <v/>
      </c>
      <c r="AL25" s="27">
        <f t="shared" si="5"/>
        <v>0</v>
      </c>
    </row>
    <row r="26" spans="1:38" ht="15.75" customHeight="1">
      <c r="A26" s="26">
        <f>IFERROR(IF(DAY(DATE(2000+$F$1,$H$1+1,0))&lt;23,"",DATE(2000+$F$1,$H$1,23)),"")</f>
        <v>46135</v>
      </c>
      <c r="B26" s="27" t="str">
        <f t="shared" si="0"/>
        <v>목</v>
      </c>
      <c r="C26" s="27" t="str">
        <f>IF(A26="","",IF(OR(WEEKDAY(A26,2)&gt;5,COUNTIF('2.공휴일리스트'!$A$2:$A$1000,A26)&gt;0),"휴일","평일"))</f>
        <v>평일</v>
      </c>
      <c r="D26" s="28">
        <v>0.33333333333333298</v>
      </c>
      <c r="E26" s="28">
        <v>0.8125</v>
      </c>
      <c r="F26" s="27">
        <f>IFERROR(IF(OR(D26="",E26=""),"",IF($C26="평일",MIN(8,MAX(0,(E26-D26)*24-'1.설정(통합)'!$B$14)),0)),"")</f>
        <v>8</v>
      </c>
      <c r="G26" s="27">
        <f>IFERROR(IF(OR(D26="",E26="",$C26="휴일"),"",IF((E26-D26)*24-'1.설정(통합)'!$B$14&gt;8,(E26-D26)*24-'1.설정(통합)'!$B$14-8,0)),"")</f>
        <v>2.5000000000000089</v>
      </c>
      <c r="H26" s="27" t="str">
        <f>IFERROR(IF(OR(D26="",E26="",$C26="평일"),"",MIN(8,MAX(0,(E26-D26)*24-'1.설정(통합)'!$B$14))),"")</f>
        <v/>
      </c>
      <c r="I26" s="27" t="str">
        <f>IFERROR(IF(OR(D26="",E26="",$C26="평일"),"",IF((E26-D26)*24-'1.설정(통합)'!$B$14&gt;8,(E26-D26)*24-'1.설정(통합)'!$B$14-8,0)),"")</f>
        <v/>
      </c>
      <c r="J26" s="27">
        <f t="shared" si="1"/>
        <v>0</v>
      </c>
      <c r="K26" s="28">
        <v>0.33333333333333298</v>
      </c>
      <c r="L26" s="28">
        <v>0.8125</v>
      </c>
      <c r="M26" s="27">
        <f>IFERROR(IF(OR(K26="",L26=""),"",IF($C26="평일",MIN(8,MAX(0,(L26-K26)*24-'1.설정(통합)'!$C$14)),0)),"")</f>
        <v>8</v>
      </c>
      <c r="N26" s="27">
        <f>IFERROR(IF(OR(K26="",L26="",$C26="휴일"),"",IF((L26-K26)*24-'1.설정(통합)'!$C$14&gt;8,(L26-K26)*24-'1.설정(통합)'!$C$14-8,0)),"")</f>
        <v>2.5000000000000089</v>
      </c>
      <c r="O26" s="27" t="str">
        <f>IFERROR(IF(OR(K26="",L26="",$C26="평일"),"",MIN(8,MAX(0,(L26-K26)*24-'1.설정(통합)'!$C$14))),"")</f>
        <v/>
      </c>
      <c r="P26" s="27" t="str">
        <f>IFERROR(IF(OR(K26="",L26="",$C26="평일"),"",IF((L26-K26)*24-'1.설정(통합)'!$C$14&gt;8,(L26-K26)*24-'1.설정(통합)'!$C$14-8,0)),"")</f>
        <v/>
      </c>
      <c r="Q26" s="27">
        <f t="shared" si="2"/>
        <v>0</v>
      </c>
      <c r="R26" s="28">
        <v>0.33333333333333298</v>
      </c>
      <c r="S26" s="28">
        <v>0.8125</v>
      </c>
      <c r="T26" s="27">
        <f>IFERROR(IF(OR(R26="",S26=""),"",IF($C26="평일",MIN(8,MAX(0,(S26-R26)*24-'1.설정(통합)'!$D$14)),0)),"")</f>
        <v>8</v>
      </c>
      <c r="U26" s="27">
        <f>IFERROR(IF(OR(R26="",S26="",$C26="휴일"),"",IF((S26-R26)*24-'1.설정(통합)'!$D$14&gt;8,(S26-R26)*24-'1.설정(통합)'!$D$14-8,0)),"")</f>
        <v>2.5000000000000089</v>
      </c>
      <c r="V26" s="27" t="str">
        <f>IFERROR(IF(OR(R26="",S26="",$C26="평일"),"",MIN(8,MAX(0,(S26-R26)*24-'1.설정(통합)'!$D$14))),"")</f>
        <v/>
      </c>
      <c r="W26" s="27" t="str">
        <f>IFERROR(IF(OR(R26="",S26="",$C26="평일"),"",IF((S26-R26)*24-'1.설정(통합)'!$D$14&gt;8,(S26-R26)*24-'1.설정(통합)'!$D$14-8,0)),"")</f>
        <v/>
      </c>
      <c r="X26" s="27">
        <f t="shared" si="3"/>
        <v>0</v>
      </c>
      <c r="Y26" s="28">
        <v>0.33333333333333298</v>
      </c>
      <c r="Z26" s="28">
        <v>0.8125</v>
      </c>
      <c r="AA26" s="27">
        <f>IFERROR(IF(OR(Y26="",Z26=""),"",IF($C26="평일",MIN(8,MAX(0,(Z26-Y26)*24-'1.설정(통합)'!$E$14)),0)),"")</f>
        <v>8</v>
      </c>
      <c r="AB26" s="27">
        <f>IFERROR(IF(OR(Y26="",Z26="",$C26="휴일"),"",IF((Z26-Y26)*24-'1.설정(통합)'!$E$14&gt;8,(Z26-Y26)*24-'1.설정(통합)'!$E$14-8,0)),"")</f>
        <v>2.5000000000000089</v>
      </c>
      <c r="AC26" s="27" t="str">
        <f>IFERROR(IF(OR(Y26="",Z26="",$C26="평일"),"",MIN(8,MAX(0,(Z26-Y26)*24-'1.설정(통합)'!$E$14))),"")</f>
        <v/>
      </c>
      <c r="AD26" s="27" t="str">
        <f>IFERROR(IF(OR(Y26="",Z26="",$C26="평일"),"",IF((Z26-Y26)*24-'1.설정(통합)'!$E$14&gt;8,(Z26-Y26)*24-'1.설정(통합)'!$E$14-8,0)),"")</f>
        <v/>
      </c>
      <c r="AE26" s="27">
        <f t="shared" si="4"/>
        <v>0</v>
      </c>
      <c r="AF26" s="28">
        <v>0.33333333333333298</v>
      </c>
      <c r="AG26" s="28">
        <v>0.8125</v>
      </c>
      <c r="AH26" s="27">
        <f>IFERROR(IF(OR(AF26="",AG26=""),"",IF($C26="평일",MIN(8,MAX(0,(AG26-AF26)*24-'1.설정(통합)'!$F$14)),0)),"")</f>
        <v>8</v>
      </c>
      <c r="AI26" s="27">
        <f>IFERROR(IF(OR(AF26="",AG26="",$C26="휴일"),"",IF((AG26-AF26)*24-'1.설정(통합)'!$F$14&gt;8,(AG26-AF26)*24-'1.설정(통합)'!$F$14-8,0)),"")</f>
        <v>2.5000000000000089</v>
      </c>
      <c r="AJ26" s="27" t="str">
        <f>IFERROR(IF(OR(AF26="",AG26="",$C26="평일"),"",MIN(8,MAX(0,(AG26-AF26)*24-'1.설정(통합)'!$F$14))),"")</f>
        <v/>
      </c>
      <c r="AK26" s="27" t="str">
        <f>IFERROR(IF(OR(AF26="",AG26="",$C26="평일"),"",IF((AG26-AF26)*24-'1.설정(통합)'!$F$14&gt;8,(AG26-AF26)*24-'1.설정(통합)'!$F$14-8,0)),"")</f>
        <v/>
      </c>
      <c r="AL26" s="27">
        <f t="shared" si="5"/>
        <v>0</v>
      </c>
    </row>
    <row r="27" spans="1:38" ht="15.75" customHeight="1">
      <c r="A27" s="26">
        <f>IFERROR(IF(DAY(DATE(2000+$F$1,$H$1+1,0))&lt;24,"",DATE(2000+$F$1,$H$1,24)),"")</f>
        <v>46136</v>
      </c>
      <c r="B27" s="27" t="str">
        <f t="shared" si="0"/>
        <v>금</v>
      </c>
      <c r="C27" s="27" t="str">
        <f>IF(A27="","",IF(OR(WEEKDAY(A27,2)&gt;5,COUNTIF('2.공휴일리스트'!$A$2:$A$1000,A27)&gt;0),"휴일","평일"))</f>
        <v>평일</v>
      </c>
      <c r="D27" s="28">
        <v>0.33333333333333298</v>
      </c>
      <c r="E27" s="28">
        <v>0.8125</v>
      </c>
      <c r="F27" s="27">
        <f>IFERROR(IF(OR(D27="",E27=""),"",IF($C27="평일",MIN(8,MAX(0,(E27-D27)*24-'1.설정(통합)'!$B$14)),0)),"")</f>
        <v>8</v>
      </c>
      <c r="G27" s="27">
        <f>IFERROR(IF(OR(D27="",E27="",$C27="휴일"),"",IF((E27-D27)*24-'1.설정(통합)'!$B$14&gt;8,(E27-D27)*24-'1.설정(통합)'!$B$14-8,0)),"")</f>
        <v>2.5000000000000089</v>
      </c>
      <c r="H27" s="27" t="str">
        <f>IFERROR(IF(OR(D27="",E27="",$C27="평일"),"",MIN(8,MAX(0,(E27-D27)*24-'1.설정(통합)'!$B$14))),"")</f>
        <v/>
      </c>
      <c r="I27" s="27" t="str">
        <f>IFERROR(IF(OR(D27="",E27="",$C27="평일"),"",IF((E27-D27)*24-'1.설정(통합)'!$B$14&gt;8,(E27-D27)*24-'1.설정(통합)'!$B$14-8,0)),"")</f>
        <v/>
      </c>
      <c r="J27" s="27">
        <f t="shared" si="1"/>
        <v>0</v>
      </c>
      <c r="K27" s="28">
        <v>0.33333333333333298</v>
      </c>
      <c r="L27" s="28">
        <v>0.8125</v>
      </c>
      <c r="M27" s="27">
        <f>IFERROR(IF(OR(K27="",L27=""),"",IF($C27="평일",MIN(8,MAX(0,(L27-K27)*24-'1.설정(통합)'!$C$14)),0)),"")</f>
        <v>8</v>
      </c>
      <c r="N27" s="27">
        <f>IFERROR(IF(OR(K27="",L27="",$C27="휴일"),"",IF((L27-K27)*24-'1.설정(통합)'!$C$14&gt;8,(L27-K27)*24-'1.설정(통합)'!$C$14-8,0)),"")</f>
        <v>2.5000000000000089</v>
      </c>
      <c r="O27" s="27" t="str">
        <f>IFERROR(IF(OR(K27="",L27="",$C27="평일"),"",MIN(8,MAX(0,(L27-K27)*24-'1.설정(통합)'!$C$14))),"")</f>
        <v/>
      </c>
      <c r="P27" s="27" t="str">
        <f>IFERROR(IF(OR(K27="",L27="",$C27="평일"),"",IF((L27-K27)*24-'1.설정(통합)'!$C$14&gt;8,(L27-K27)*24-'1.설정(통합)'!$C$14-8,0)),"")</f>
        <v/>
      </c>
      <c r="Q27" s="27">
        <f t="shared" si="2"/>
        <v>0</v>
      </c>
      <c r="R27" s="28">
        <v>0.33333333333333298</v>
      </c>
      <c r="S27" s="28">
        <v>0.8125</v>
      </c>
      <c r="T27" s="27">
        <f>IFERROR(IF(OR(R27="",S27=""),"",IF($C27="평일",MIN(8,MAX(0,(S27-R27)*24-'1.설정(통합)'!$D$14)),0)),"")</f>
        <v>8</v>
      </c>
      <c r="U27" s="27">
        <f>IFERROR(IF(OR(R27="",S27="",$C27="휴일"),"",IF((S27-R27)*24-'1.설정(통합)'!$D$14&gt;8,(S27-R27)*24-'1.설정(통합)'!$D$14-8,0)),"")</f>
        <v>2.5000000000000089</v>
      </c>
      <c r="V27" s="27" t="str">
        <f>IFERROR(IF(OR(R27="",S27="",$C27="평일"),"",MIN(8,MAX(0,(S27-R27)*24-'1.설정(통합)'!$D$14))),"")</f>
        <v/>
      </c>
      <c r="W27" s="27" t="str">
        <f>IFERROR(IF(OR(R27="",S27="",$C27="평일"),"",IF((S27-R27)*24-'1.설정(통합)'!$D$14&gt;8,(S27-R27)*24-'1.설정(통합)'!$D$14-8,0)),"")</f>
        <v/>
      </c>
      <c r="X27" s="27">
        <f t="shared" si="3"/>
        <v>0</v>
      </c>
      <c r="Y27" s="28">
        <v>0.33333333333333298</v>
      </c>
      <c r="Z27" s="28">
        <v>0.8125</v>
      </c>
      <c r="AA27" s="27">
        <f>IFERROR(IF(OR(Y27="",Z27=""),"",IF($C27="평일",MIN(8,MAX(0,(Z27-Y27)*24-'1.설정(통합)'!$E$14)),0)),"")</f>
        <v>8</v>
      </c>
      <c r="AB27" s="27">
        <f>IFERROR(IF(OR(Y27="",Z27="",$C27="휴일"),"",IF((Z27-Y27)*24-'1.설정(통합)'!$E$14&gt;8,(Z27-Y27)*24-'1.설정(통합)'!$E$14-8,0)),"")</f>
        <v>2.5000000000000089</v>
      </c>
      <c r="AC27" s="27" t="str">
        <f>IFERROR(IF(OR(Y27="",Z27="",$C27="평일"),"",MIN(8,MAX(0,(Z27-Y27)*24-'1.설정(통합)'!$E$14))),"")</f>
        <v/>
      </c>
      <c r="AD27" s="27" t="str">
        <f>IFERROR(IF(OR(Y27="",Z27="",$C27="평일"),"",IF((Z27-Y27)*24-'1.설정(통합)'!$E$14&gt;8,(Z27-Y27)*24-'1.설정(통합)'!$E$14-8,0)),"")</f>
        <v/>
      </c>
      <c r="AE27" s="27">
        <f t="shared" si="4"/>
        <v>0</v>
      </c>
      <c r="AF27" s="28">
        <v>0.33333333333333298</v>
      </c>
      <c r="AG27" s="28">
        <v>0.8125</v>
      </c>
      <c r="AH27" s="27">
        <f>IFERROR(IF(OR(AF27="",AG27=""),"",IF($C27="평일",MIN(8,MAX(0,(AG27-AF27)*24-'1.설정(통합)'!$F$14)),0)),"")</f>
        <v>8</v>
      </c>
      <c r="AI27" s="27">
        <f>IFERROR(IF(OR(AF27="",AG27="",$C27="휴일"),"",IF((AG27-AF27)*24-'1.설정(통합)'!$F$14&gt;8,(AG27-AF27)*24-'1.설정(통합)'!$F$14-8,0)),"")</f>
        <v>2.5000000000000089</v>
      </c>
      <c r="AJ27" s="27" t="str">
        <f>IFERROR(IF(OR(AF27="",AG27="",$C27="평일"),"",MIN(8,MAX(0,(AG27-AF27)*24-'1.설정(통합)'!$F$14))),"")</f>
        <v/>
      </c>
      <c r="AK27" s="27" t="str">
        <f>IFERROR(IF(OR(AF27="",AG27="",$C27="평일"),"",IF((AG27-AF27)*24-'1.설정(통합)'!$F$14&gt;8,(AG27-AF27)*24-'1.설정(통합)'!$F$14-8,0)),"")</f>
        <v/>
      </c>
      <c r="AL27" s="27">
        <f t="shared" si="5"/>
        <v>0</v>
      </c>
    </row>
    <row r="28" spans="1:38" ht="15.75" customHeight="1">
      <c r="A28" s="26">
        <f>IFERROR(IF(DAY(DATE(2000+$F$1,$H$1+1,0))&lt;25,"",DATE(2000+$F$1,$H$1,25)),"")</f>
        <v>46137</v>
      </c>
      <c r="B28" s="27" t="str">
        <f t="shared" si="0"/>
        <v>토</v>
      </c>
      <c r="C28" s="27" t="str">
        <f>IF(A28="","",IF(OR(WEEKDAY(A28,2)&gt;5,COUNTIF('2.공휴일리스트'!$A$2:$A$1000,A28)&gt;0),"휴일","평일"))</f>
        <v>휴일</v>
      </c>
      <c r="D28" s="28">
        <v>0.20833333333333301</v>
      </c>
      <c r="E28" s="28">
        <v>0.75</v>
      </c>
      <c r="F28" s="27">
        <f>IFERROR(IF(OR(D28="",E28=""),"",IF($C28="평일",MIN(8,MAX(0,(E28-D28)*24-'1.설정(통합)'!$B$14)),0)),"")</f>
        <v>0</v>
      </c>
      <c r="G28" s="27" t="str">
        <f>IFERROR(IF(OR(D28="",E28="",$C28="휴일"),"",IF((E28-D28)*24-'1.설정(통합)'!$B$14&gt;8,(E28-D28)*24-'1.설정(통합)'!$B$14-8,0)),"")</f>
        <v/>
      </c>
      <c r="H28" s="27">
        <f>IFERROR(IF(OR(D28="",E28="",$C28="평일"),"",MIN(8,MAX(0,(E28-D28)*24-'1.설정(통합)'!$B$14))),"")</f>
        <v>8</v>
      </c>
      <c r="I28" s="27">
        <f>IFERROR(IF(OR(D28="",E28="",$C28="평일"),"",IF((E28-D28)*24-'1.설정(통합)'!$B$14&gt;8,(E28-D28)*24-'1.설정(통합)'!$B$14-8,0)),"")</f>
        <v>4.0000000000000071</v>
      </c>
      <c r="J28" s="27">
        <f t="shared" si="1"/>
        <v>1.0000000000000078</v>
      </c>
      <c r="K28" s="28">
        <v>0.33333333333333298</v>
      </c>
      <c r="L28" s="28">
        <v>0.66666666666666696</v>
      </c>
      <c r="M28" s="27">
        <f>IFERROR(IF(OR(K28="",L28=""),"",IF($C28="평일",MIN(8,MAX(0,(L28-K28)*24-'1.설정(통합)'!$C$14)),0)),"")</f>
        <v>0</v>
      </c>
      <c r="N28" s="27" t="str">
        <f>IFERROR(IF(OR(K28="",L28="",$C28="휴일"),"",IF((L28-K28)*24-'1.설정(통합)'!$C$14&gt;8,(L28-K28)*24-'1.설정(통합)'!$C$14-8,0)),"")</f>
        <v/>
      </c>
      <c r="O28" s="27">
        <f>IFERROR(IF(OR(K28="",L28="",$C28="평일"),"",MIN(8,MAX(0,(L28-K28)*24-'1.설정(통합)'!$C$14))),"")</f>
        <v>7.000000000000016</v>
      </c>
      <c r="P28" s="27">
        <f>IFERROR(IF(OR(K28="",L28="",$C28="평일"),"",IF((L28-K28)*24-'1.설정(통합)'!$C$14&gt;8,(L28-K28)*24-'1.설정(통합)'!$C$14-8,0)),"")</f>
        <v>0</v>
      </c>
      <c r="Q28" s="27">
        <f t="shared" si="2"/>
        <v>0</v>
      </c>
      <c r="R28" s="28">
        <v>0.33333333333333298</v>
      </c>
      <c r="S28" s="28">
        <v>0.66666666666666696</v>
      </c>
      <c r="T28" s="27">
        <f>IFERROR(IF(OR(R28="",S28=""),"",IF($C28="평일",MIN(8,MAX(0,(S28-R28)*24-'1.설정(통합)'!$D$14)),0)),"")</f>
        <v>0</v>
      </c>
      <c r="U28" s="27" t="str">
        <f>IFERROR(IF(OR(R28="",S28="",$C28="휴일"),"",IF((S28-R28)*24-'1.설정(통합)'!$D$14&gt;8,(S28-R28)*24-'1.설정(통합)'!$D$14-8,0)),"")</f>
        <v/>
      </c>
      <c r="V28" s="27">
        <f>IFERROR(IF(OR(R28="",S28="",$C28="평일"),"",MIN(8,MAX(0,(S28-R28)*24-'1.설정(통합)'!$D$14))),"")</f>
        <v>7.000000000000016</v>
      </c>
      <c r="W28" s="27">
        <f>IFERROR(IF(OR(R28="",S28="",$C28="평일"),"",IF((S28-R28)*24-'1.설정(통합)'!$D$14&gt;8,(S28-R28)*24-'1.설정(통합)'!$D$14-8,0)),"")</f>
        <v>0</v>
      </c>
      <c r="X28" s="27">
        <f t="shared" si="3"/>
        <v>0</v>
      </c>
      <c r="Y28" s="28">
        <v>0.33333333333333298</v>
      </c>
      <c r="Z28" s="28">
        <v>0.75</v>
      </c>
      <c r="AA28" s="27">
        <f>IFERROR(IF(OR(Y28="",Z28=""),"",IF($C28="평일",MIN(8,MAX(0,(Z28-Y28)*24-'1.설정(통합)'!$E$14)),0)),"")</f>
        <v>0</v>
      </c>
      <c r="AB28" s="27" t="str">
        <f>IFERROR(IF(OR(Y28="",Z28="",$C28="휴일"),"",IF((Z28-Y28)*24-'1.설정(통합)'!$E$14&gt;8,(Z28-Y28)*24-'1.설정(통합)'!$E$14-8,0)),"")</f>
        <v/>
      </c>
      <c r="AC28" s="27">
        <f>IFERROR(IF(OR(Y28="",Z28="",$C28="평일"),"",MIN(8,MAX(0,(Z28-Y28)*24-'1.설정(통합)'!$E$14))),"")</f>
        <v>8</v>
      </c>
      <c r="AD28" s="27">
        <f>IFERROR(IF(OR(Y28="",Z28="",$C28="평일"),"",IF((Z28-Y28)*24-'1.설정(통합)'!$E$14&gt;8,(Z28-Y28)*24-'1.설정(통합)'!$E$14-8,0)),"")</f>
        <v>1.0000000000000089</v>
      </c>
      <c r="AE28" s="27">
        <f t="shared" si="4"/>
        <v>0</v>
      </c>
      <c r="AF28" s="28">
        <v>0.33333333333333298</v>
      </c>
      <c r="AG28" s="28">
        <v>0.66666666666666696</v>
      </c>
      <c r="AH28" s="27">
        <f>IFERROR(IF(OR(AF28="",AG28=""),"",IF($C28="평일",MIN(8,MAX(0,(AG28-AF28)*24-'1.설정(통합)'!$F$14)),0)),"")</f>
        <v>0</v>
      </c>
      <c r="AI28" s="27" t="str">
        <f>IFERROR(IF(OR(AF28="",AG28="",$C28="휴일"),"",IF((AG28-AF28)*24-'1.설정(통합)'!$F$14&gt;8,(AG28-AF28)*24-'1.설정(통합)'!$F$14-8,0)),"")</f>
        <v/>
      </c>
      <c r="AJ28" s="27">
        <f>IFERROR(IF(OR(AF28="",AG28="",$C28="평일"),"",MIN(8,MAX(0,(AG28-AF28)*24-'1.설정(통합)'!$F$14))),"")</f>
        <v>7.000000000000016</v>
      </c>
      <c r="AK28" s="27">
        <f>IFERROR(IF(OR(AF28="",AG28="",$C28="평일"),"",IF((AG28-AF28)*24-'1.설정(통합)'!$F$14&gt;8,(AG28-AF28)*24-'1.설정(통합)'!$F$14-8,0)),"")</f>
        <v>0</v>
      </c>
      <c r="AL28" s="27">
        <f t="shared" si="5"/>
        <v>0</v>
      </c>
    </row>
    <row r="29" spans="1:38" ht="15.75" customHeight="1">
      <c r="A29" s="26">
        <f>IFERROR(IF(DAY(DATE(2000+$F$1,$H$1+1,0))&lt;26,"",DATE(2000+$F$1,$H$1,26)),"")</f>
        <v>46138</v>
      </c>
      <c r="B29" s="27" t="str">
        <f t="shared" si="0"/>
        <v>일</v>
      </c>
      <c r="C29" s="27" t="str">
        <f>IF(A29="","",IF(OR(WEEKDAY(A29,2)&gt;5,COUNTIF('2.공휴일리스트'!$A$2:$A$1000,A29)&gt;0),"휴일","평일"))</f>
        <v>휴일</v>
      </c>
      <c r="D29" s="28">
        <v>0.33333333333333298</v>
      </c>
      <c r="E29" s="28">
        <v>0.64583333333333304</v>
      </c>
      <c r="F29" s="27">
        <f>IFERROR(IF(OR(D29="",E29=""),"",IF($C29="평일",MIN(8,MAX(0,(E29-D29)*24-'1.설정(통합)'!$B$14)),0)),"")</f>
        <v>0</v>
      </c>
      <c r="G29" s="27" t="str">
        <f>IFERROR(IF(OR(D29="",E29="",$C29="휴일"),"",IF((E29-D29)*24-'1.설정(통합)'!$B$14&gt;8,(E29-D29)*24-'1.설정(통합)'!$B$14-8,0)),"")</f>
        <v/>
      </c>
      <c r="H29" s="27">
        <f>IFERROR(IF(OR(D29="",E29="",$C29="평일"),"",MIN(8,MAX(0,(E29-D29)*24-'1.설정(통합)'!$B$14))),"")</f>
        <v>6.5000000000000018</v>
      </c>
      <c r="I29" s="27">
        <f>IFERROR(IF(OR(D29="",E29="",$C29="평일"),"",IF((E29-D29)*24-'1.설정(통합)'!$B$14&gt;8,(E29-D29)*24-'1.설정(통합)'!$B$14-8,0)),"")</f>
        <v>0</v>
      </c>
      <c r="J29" s="27">
        <f t="shared" si="1"/>
        <v>0</v>
      </c>
      <c r="K29" s="28">
        <v>0.33333333333333298</v>
      </c>
      <c r="L29" s="28">
        <v>0.64583333333333304</v>
      </c>
      <c r="M29" s="27">
        <f>IFERROR(IF(OR(K29="",L29=""),"",IF($C29="평일",MIN(8,MAX(0,(L29-K29)*24-'1.설정(통합)'!$C$14)),0)),"")</f>
        <v>0</v>
      </c>
      <c r="N29" s="27" t="str">
        <f>IFERROR(IF(OR(K29="",L29="",$C29="휴일"),"",IF((L29-K29)*24-'1.설정(통합)'!$C$14&gt;8,(L29-K29)*24-'1.설정(통합)'!$C$14-8,0)),"")</f>
        <v/>
      </c>
      <c r="O29" s="27">
        <f>IFERROR(IF(OR(K29="",L29="",$C29="평일"),"",MIN(8,MAX(0,(L29-K29)*24-'1.설정(통합)'!$C$14))),"")</f>
        <v>6.5000000000000018</v>
      </c>
      <c r="P29" s="27">
        <f>IFERROR(IF(OR(K29="",L29="",$C29="평일"),"",IF((L29-K29)*24-'1.설정(통합)'!$C$14&gt;8,(L29-K29)*24-'1.설정(통합)'!$C$14-8,0)),"")</f>
        <v>0</v>
      </c>
      <c r="Q29" s="27">
        <f t="shared" si="2"/>
        <v>0</v>
      </c>
      <c r="R29" s="28"/>
      <c r="S29" s="28"/>
      <c r="T29" s="27" t="str">
        <f>IFERROR(IF(OR(R29="",S29=""),"",IF($C29="평일",MIN(8,MAX(0,(S29-R29)*24-'1.설정(통합)'!$D$14)),0)),"")</f>
        <v/>
      </c>
      <c r="U29" s="27" t="str">
        <f>IFERROR(IF(OR(R29="",S29="",$C29="휴일"),"",IF((S29-R29)*24-'1.설정(통합)'!$D$14&gt;8,(S29-R29)*24-'1.설정(통합)'!$D$14-8,0)),"")</f>
        <v/>
      </c>
      <c r="V29" s="27" t="str">
        <f>IFERROR(IF(OR(R29="",S29="",$C29="평일"),"",MIN(8,MAX(0,(S29-R29)*24-'1.설정(통합)'!$D$14))),"")</f>
        <v/>
      </c>
      <c r="W29" s="27" t="str">
        <f>IFERROR(IF(OR(R29="",S29="",$C29="평일"),"",IF((S29-R29)*24-'1.설정(통합)'!$D$14&gt;8,(S29-R29)*24-'1.설정(통합)'!$D$14-8,0)),"")</f>
        <v/>
      </c>
      <c r="X29" s="27" t="str">
        <f t="shared" si="3"/>
        <v/>
      </c>
      <c r="Y29" s="28">
        <v>0.33333333333333298</v>
      </c>
      <c r="Z29" s="28">
        <v>0.64583333333333304</v>
      </c>
      <c r="AA29" s="27">
        <f>IFERROR(IF(OR(Y29="",Z29=""),"",IF($C29="평일",MIN(8,MAX(0,(Z29-Y29)*24-'1.설정(통합)'!$E$14)),0)),"")</f>
        <v>0</v>
      </c>
      <c r="AB29" s="27" t="str">
        <f>IFERROR(IF(OR(Y29="",Z29="",$C29="휴일"),"",IF((Z29-Y29)*24-'1.설정(통합)'!$E$14&gt;8,(Z29-Y29)*24-'1.설정(통합)'!$E$14-8,0)),"")</f>
        <v/>
      </c>
      <c r="AC29" s="27">
        <f>IFERROR(IF(OR(Y29="",Z29="",$C29="평일"),"",MIN(8,MAX(0,(Z29-Y29)*24-'1.설정(통합)'!$E$14))),"")</f>
        <v>6.5000000000000018</v>
      </c>
      <c r="AD29" s="27">
        <f>IFERROR(IF(OR(Y29="",Z29="",$C29="평일"),"",IF((Z29-Y29)*24-'1.설정(통합)'!$E$14&gt;8,(Z29-Y29)*24-'1.설정(통합)'!$E$14-8,0)),"")</f>
        <v>0</v>
      </c>
      <c r="AE29" s="27">
        <f t="shared" si="4"/>
        <v>0</v>
      </c>
      <c r="AF29" s="28">
        <v>0.33333333333333298</v>
      </c>
      <c r="AG29" s="28">
        <v>0.64583333333333304</v>
      </c>
      <c r="AH29" s="27">
        <f>IFERROR(IF(OR(AF29="",AG29=""),"",IF($C29="평일",MIN(8,MAX(0,(AG29-AF29)*24-'1.설정(통합)'!$F$14)),0)),"")</f>
        <v>0</v>
      </c>
      <c r="AI29" s="27" t="str">
        <f>IFERROR(IF(OR(AF29="",AG29="",$C29="휴일"),"",IF((AG29-AF29)*24-'1.설정(통합)'!$F$14&gt;8,(AG29-AF29)*24-'1.설정(통합)'!$F$14-8,0)),"")</f>
        <v/>
      </c>
      <c r="AJ29" s="27">
        <f>IFERROR(IF(OR(AF29="",AG29="",$C29="평일"),"",MIN(8,MAX(0,(AG29-AF29)*24-'1.설정(통합)'!$F$14))),"")</f>
        <v>6.5000000000000018</v>
      </c>
      <c r="AK29" s="27">
        <f>IFERROR(IF(OR(AF29="",AG29="",$C29="평일"),"",IF((AG29-AF29)*24-'1.설정(통합)'!$F$14&gt;8,(AG29-AF29)*24-'1.설정(통합)'!$F$14-8,0)),"")</f>
        <v>0</v>
      </c>
      <c r="AL29" s="27">
        <f t="shared" si="5"/>
        <v>0</v>
      </c>
    </row>
    <row r="30" spans="1:38" ht="15.75" customHeight="1">
      <c r="A30" s="26">
        <f>IFERROR(IF(DAY(DATE(2000+$F$1,$H$1+1,0))&lt;27,"",DATE(2000+$F$1,$H$1,27)),"")</f>
        <v>46139</v>
      </c>
      <c r="B30" s="27" t="str">
        <f t="shared" si="0"/>
        <v>월</v>
      </c>
      <c r="C30" s="27" t="str">
        <f>IF(A30="","",IF(OR(WEEKDAY(A30,2)&gt;5,COUNTIF('2.공휴일리스트'!$A$2:$A$1000,A30)&gt;0),"휴일","평일"))</f>
        <v>평일</v>
      </c>
      <c r="D30" s="28">
        <v>0.33333333333333298</v>
      </c>
      <c r="E30" s="28">
        <v>0.8125</v>
      </c>
      <c r="F30" s="27">
        <f>IFERROR(IF(OR(D30="",E30=""),"",IF($C30="평일",MIN(8,MAX(0,(E30-D30)*24-'1.설정(통합)'!$B$14)),0)),"")</f>
        <v>8</v>
      </c>
      <c r="G30" s="27">
        <f>IFERROR(IF(OR(D30="",E30="",$C30="휴일"),"",IF((E30-D30)*24-'1.설정(통합)'!$B$14&gt;8,(E30-D30)*24-'1.설정(통합)'!$B$14-8,0)),"")</f>
        <v>2.5000000000000089</v>
      </c>
      <c r="H30" s="27" t="str">
        <f>IFERROR(IF(OR(D30="",E30="",$C30="평일"),"",MIN(8,MAX(0,(E30-D30)*24-'1.설정(통합)'!$B$14))),"")</f>
        <v/>
      </c>
      <c r="I30" s="27" t="str">
        <f>IFERROR(IF(OR(D30="",E30="",$C30="평일"),"",IF((E30-D30)*24-'1.설정(통합)'!$B$14&gt;8,(E30-D30)*24-'1.설정(통합)'!$B$14-8,0)),"")</f>
        <v/>
      </c>
      <c r="J30" s="27">
        <f t="shared" si="1"/>
        <v>0</v>
      </c>
      <c r="K30" s="28">
        <v>0.33333333333333298</v>
      </c>
      <c r="L30" s="28">
        <v>0.8125</v>
      </c>
      <c r="M30" s="27">
        <f>IFERROR(IF(OR(K30="",L30=""),"",IF($C30="평일",MIN(8,MAX(0,(L30-K30)*24-'1.설정(통합)'!$C$14)),0)),"")</f>
        <v>8</v>
      </c>
      <c r="N30" s="27">
        <f>IFERROR(IF(OR(K30="",L30="",$C30="휴일"),"",IF((L30-K30)*24-'1.설정(통합)'!$C$14&gt;8,(L30-K30)*24-'1.설정(통합)'!$C$14-8,0)),"")</f>
        <v>2.5000000000000089</v>
      </c>
      <c r="O30" s="27" t="str">
        <f>IFERROR(IF(OR(K30="",L30="",$C30="평일"),"",MIN(8,MAX(0,(L30-K30)*24-'1.설정(통합)'!$C$14))),"")</f>
        <v/>
      </c>
      <c r="P30" s="27" t="str">
        <f>IFERROR(IF(OR(K30="",L30="",$C30="평일"),"",IF((L30-K30)*24-'1.설정(통합)'!$C$14&gt;8,(L30-K30)*24-'1.설정(통합)'!$C$14-8,0)),"")</f>
        <v/>
      </c>
      <c r="Q30" s="27">
        <f t="shared" si="2"/>
        <v>0</v>
      </c>
      <c r="R30" s="28">
        <v>0.33333333333333298</v>
      </c>
      <c r="S30" s="28">
        <v>0.8125</v>
      </c>
      <c r="T30" s="27">
        <f>IFERROR(IF(OR(R30="",S30=""),"",IF($C30="평일",MIN(8,MAX(0,(S30-R30)*24-'1.설정(통합)'!$D$14)),0)),"")</f>
        <v>8</v>
      </c>
      <c r="U30" s="27">
        <f>IFERROR(IF(OR(R30="",S30="",$C30="휴일"),"",IF((S30-R30)*24-'1.설정(통합)'!$D$14&gt;8,(S30-R30)*24-'1.설정(통합)'!$D$14-8,0)),"")</f>
        <v>2.5000000000000089</v>
      </c>
      <c r="V30" s="27" t="str">
        <f>IFERROR(IF(OR(R30="",S30="",$C30="평일"),"",MIN(8,MAX(0,(S30-R30)*24-'1.설정(통합)'!$D$14))),"")</f>
        <v/>
      </c>
      <c r="W30" s="27" t="str">
        <f>IFERROR(IF(OR(R30="",S30="",$C30="평일"),"",IF((S30-R30)*24-'1.설정(통합)'!$D$14&gt;8,(S30-R30)*24-'1.설정(통합)'!$D$14-8,0)),"")</f>
        <v/>
      </c>
      <c r="X30" s="27">
        <f t="shared" si="3"/>
        <v>0</v>
      </c>
      <c r="Y30" s="28">
        <v>0.33333333333333298</v>
      </c>
      <c r="Z30" s="28">
        <v>0.8125</v>
      </c>
      <c r="AA30" s="27">
        <f>IFERROR(IF(OR(Y30="",Z30=""),"",IF($C30="평일",MIN(8,MAX(0,(Z30-Y30)*24-'1.설정(통합)'!$E$14)),0)),"")</f>
        <v>8</v>
      </c>
      <c r="AB30" s="27">
        <f>IFERROR(IF(OR(Y30="",Z30="",$C30="휴일"),"",IF((Z30-Y30)*24-'1.설정(통합)'!$E$14&gt;8,(Z30-Y30)*24-'1.설정(통합)'!$E$14-8,0)),"")</f>
        <v>2.5000000000000089</v>
      </c>
      <c r="AC30" s="27" t="str">
        <f>IFERROR(IF(OR(Y30="",Z30="",$C30="평일"),"",MIN(8,MAX(0,(Z30-Y30)*24-'1.설정(통합)'!$E$14))),"")</f>
        <v/>
      </c>
      <c r="AD30" s="27" t="str">
        <f>IFERROR(IF(OR(Y30="",Z30="",$C30="평일"),"",IF((Z30-Y30)*24-'1.설정(통합)'!$E$14&gt;8,(Z30-Y30)*24-'1.설정(통합)'!$E$14-8,0)),"")</f>
        <v/>
      </c>
      <c r="AE30" s="27">
        <f t="shared" si="4"/>
        <v>0</v>
      </c>
      <c r="AF30" s="28">
        <v>0.33333333333333298</v>
      </c>
      <c r="AG30" s="28">
        <v>0.8125</v>
      </c>
      <c r="AH30" s="27">
        <f>IFERROR(IF(OR(AF30="",AG30=""),"",IF($C30="평일",MIN(8,MAX(0,(AG30-AF30)*24-'1.설정(통합)'!$F$14)),0)),"")</f>
        <v>8</v>
      </c>
      <c r="AI30" s="27">
        <f>IFERROR(IF(OR(AF30="",AG30="",$C30="휴일"),"",IF((AG30-AF30)*24-'1.설정(통합)'!$F$14&gt;8,(AG30-AF30)*24-'1.설정(통합)'!$F$14-8,0)),"")</f>
        <v>2.5000000000000089</v>
      </c>
      <c r="AJ30" s="27" t="str">
        <f>IFERROR(IF(OR(AF30="",AG30="",$C30="평일"),"",MIN(8,MAX(0,(AG30-AF30)*24-'1.설정(통합)'!$F$14))),"")</f>
        <v/>
      </c>
      <c r="AK30" s="27" t="str">
        <f>IFERROR(IF(OR(AF30="",AG30="",$C30="평일"),"",IF((AG30-AF30)*24-'1.설정(통합)'!$F$14&gt;8,(AG30-AF30)*24-'1.설정(통합)'!$F$14-8,0)),"")</f>
        <v/>
      </c>
      <c r="AL30" s="27">
        <f t="shared" si="5"/>
        <v>0</v>
      </c>
    </row>
    <row r="31" spans="1:38" ht="15.75" customHeight="1">
      <c r="A31" s="26">
        <f>IFERROR(IF(DAY(DATE(2000+$F$1,$H$1+1,0))&lt;28,"",DATE(2000+$F$1,$H$1,28)),"")</f>
        <v>46140</v>
      </c>
      <c r="B31" s="27" t="str">
        <f t="shared" si="0"/>
        <v>화</v>
      </c>
      <c r="C31" s="27" t="str">
        <f>IF(A31="","",IF(OR(WEEKDAY(A31,2)&gt;5,COUNTIF('2.공휴일리스트'!$A$2:$A$1000,A31)&gt;0),"휴일","평일"))</f>
        <v>평일</v>
      </c>
      <c r="D31" s="28">
        <v>0.33333333333333298</v>
      </c>
      <c r="E31" s="28">
        <v>0.8125</v>
      </c>
      <c r="F31" s="27">
        <f>IFERROR(IF(OR(D31="",E31=""),"",IF($C31="평일",MIN(8,MAX(0,(E31-D31)*24-'1.설정(통합)'!$B$14)),0)),"")</f>
        <v>8</v>
      </c>
      <c r="G31" s="27">
        <f>IFERROR(IF(OR(D31="",E31="",$C31="휴일"),"",IF((E31-D31)*24-'1.설정(통합)'!$B$14&gt;8,(E31-D31)*24-'1.설정(통합)'!$B$14-8,0)),"")</f>
        <v>2.5000000000000089</v>
      </c>
      <c r="H31" s="27" t="str">
        <f>IFERROR(IF(OR(D31="",E31="",$C31="평일"),"",MIN(8,MAX(0,(E31-D31)*24-'1.설정(통합)'!$B$14))),"")</f>
        <v/>
      </c>
      <c r="I31" s="27" t="str">
        <f>IFERROR(IF(OR(D31="",E31="",$C31="평일"),"",IF((E31-D31)*24-'1.설정(통합)'!$B$14&gt;8,(E31-D31)*24-'1.설정(통합)'!$B$14-8,0)),"")</f>
        <v/>
      </c>
      <c r="J31" s="27">
        <f t="shared" si="1"/>
        <v>0</v>
      </c>
      <c r="K31" s="28">
        <v>0.33333333333333298</v>
      </c>
      <c r="L31" s="28">
        <v>0.70833333333333304</v>
      </c>
      <c r="M31" s="27">
        <f>IFERROR(IF(OR(K31="",L31=""),"",IF($C31="평일",MIN(8,MAX(0,(L31-K31)*24-'1.설정(통합)'!$C$14)),0)),"")</f>
        <v>8</v>
      </c>
      <c r="N31" s="27">
        <f>IFERROR(IF(OR(K31="",L31="",$C31="휴일"),"",IF((L31-K31)*24-'1.설정(통합)'!$C$14&gt;8,(L31-K31)*24-'1.설정(통합)'!$C$14-8,0)),"")</f>
        <v>0</v>
      </c>
      <c r="O31" s="27" t="str">
        <f>IFERROR(IF(OR(K31="",L31="",$C31="평일"),"",MIN(8,MAX(0,(L31-K31)*24-'1.설정(통합)'!$C$14))),"")</f>
        <v/>
      </c>
      <c r="P31" s="27" t="str">
        <f>IFERROR(IF(OR(K31="",L31="",$C31="평일"),"",IF((L31-K31)*24-'1.설정(통합)'!$C$14&gt;8,(L31-K31)*24-'1.설정(통합)'!$C$14-8,0)),"")</f>
        <v/>
      </c>
      <c r="Q31" s="27">
        <f t="shared" si="2"/>
        <v>0</v>
      </c>
      <c r="R31" s="28">
        <v>0.33333333333333298</v>
      </c>
      <c r="S31" s="28">
        <v>0.8125</v>
      </c>
      <c r="T31" s="27">
        <f>IFERROR(IF(OR(R31="",S31=""),"",IF($C31="평일",MIN(8,MAX(0,(S31-R31)*24-'1.설정(통합)'!$D$14)),0)),"")</f>
        <v>8</v>
      </c>
      <c r="U31" s="27">
        <f>IFERROR(IF(OR(R31="",S31="",$C31="휴일"),"",IF((S31-R31)*24-'1.설정(통합)'!$D$14&gt;8,(S31-R31)*24-'1.설정(통합)'!$D$14-8,0)),"")</f>
        <v>2.5000000000000089</v>
      </c>
      <c r="V31" s="27" t="str">
        <f>IFERROR(IF(OR(R31="",S31="",$C31="평일"),"",MIN(8,MAX(0,(S31-R31)*24-'1.설정(통합)'!$D$14))),"")</f>
        <v/>
      </c>
      <c r="W31" s="27" t="str">
        <f>IFERROR(IF(OR(R31="",S31="",$C31="평일"),"",IF((S31-R31)*24-'1.설정(통합)'!$D$14&gt;8,(S31-R31)*24-'1.설정(통합)'!$D$14-8,0)),"")</f>
        <v/>
      </c>
      <c r="X31" s="27">
        <f t="shared" si="3"/>
        <v>0</v>
      </c>
      <c r="Y31" s="28">
        <v>0.33333333333333298</v>
      </c>
      <c r="Z31" s="28">
        <v>0.8125</v>
      </c>
      <c r="AA31" s="27">
        <f>IFERROR(IF(OR(Y31="",Z31=""),"",IF($C31="평일",MIN(8,MAX(0,(Z31-Y31)*24-'1.설정(통합)'!$E$14)),0)),"")</f>
        <v>8</v>
      </c>
      <c r="AB31" s="27">
        <f>IFERROR(IF(OR(Y31="",Z31="",$C31="휴일"),"",IF((Z31-Y31)*24-'1.설정(통합)'!$E$14&gt;8,(Z31-Y31)*24-'1.설정(통합)'!$E$14-8,0)),"")</f>
        <v>2.5000000000000089</v>
      </c>
      <c r="AC31" s="27" t="str">
        <f>IFERROR(IF(OR(Y31="",Z31="",$C31="평일"),"",MIN(8,MAX(0,(Z31-Y31)*24-'1.설정(통합)'!$E$14))),"")</f>
        <v/>
      </c>
      <c r="AD31" s="27" t="str">
        <f>IFERROR(IF(OR(Y31="",Z31="",$C31="평일"),"",IF((Z31-Y31)*24-'1.설정(통합)'!$E$14&gt;8,(Z31-Y31)*24-'1.설정(통합)'!$E$14-8,0)),"")</f>
        <v/>
      </c>
      <c r="AE31" s="27">
        <f t="shared" si="4"/>
        <v>0</v>
      </c>
      <c r="AF31" s="28">
        <v>0.33333333333333298</v>
      </c>
      <c r="AG31" s="28">
        <v>0.8125</v>
      </c>
      <c r="AH31" s="27">
        <f>IFERROR(IF(OR(AF31="",AG31=""),"",IF($C31="평일",MIN(8,MAX(0,(AG31-AF31)*24-'1.설정(통합)'!$F$14)),0)),"")</f>
        <v>8</v>
      </c>
      <c r="AI31" s="27">
        <f>IFERROR(IF(OR(AF31="",AG31="",$C31="휴일"),"",IF((AG31-AF31)*24-'1.설정(통합)'!$F$14&gt;8,(AG31-AF31)*24-'1.설정(통합)'!$F$14-8,0)),"")</f>
        <v>2.5000000000000089</v>
      </c>
      <c r="AJ31" s="27" t="str">
        <f>IFERROR(IF(OR(AF31="",AG31="",$C31="평일"),"",MIN(8,MAX(0,(AG31-AF31)*24-'1.설정(통합)'!$F$14))),"")</f>
        <v/>
      </c>
      <c r="AK31" s="27" t="str">
        <f>IFERROR(IF(OR(AF31="",AG31="",$C31="평일"),"",IF((AG31-AF31)*24-'1.설정(통합)'!$F$14&gt;8,(AG31-AF31)*24-'1.설정(통합)'!$F$14-8,0)),"")</f>
        <v/>
      </c>
      <c r="AL31" s="27">
        <f t="shared" si="5"/>
        <v>0</v>
      </c>
    </row>
    <row r="32" spans="1:38" ht="15.75" customHeight="1">
      <c r="A32" s="26">
        <f>IFERROR(IF(DAY(DATE(2000+$F$1,$H$1+1,0))&lt;29,"",DATE(2000+$F$1,$H$1,29)),"")</f>
        <v>46141</v>
      </c>
      <c r="B32" s="27" t="str">
        <f t="shared" si="0"/>
        <v>수</v>
      </c>
      <c r="C32" s="27" t="str">
        <f>IF(A32="","",IF(OR(WEEKDAY(A32,2)&gt;5,COUNTIF('2.공휴일리스트'!$A$2:$A$1000,A32)&gt;0),"휴일","평일"))</f>
        <v>평일</v>
      </c>
      <c r="D32" s="28">
        <v>0.33333333333333298</v>
      </c>
      <c r="E32" s="28">
        <v>0.8125</v>
      </c>
      <c r="F32" s="27">
        <f>IFERROR(IF(OR(D32="",E32=""),"",IF($C32="평일",MIN(8,MAX(0,(E32-D32)*24-'1.설정(통합)'!$B$14)),0)),"")</f>
        <v>8</v>
      </c>
      <c r="G32" s="27">
        <f>IFERROR(IF(OR(D32="",E32="",$C32="휴일"),"",IF((E32-D32)*24-'1.설정(통합)'!$B$14&gt;8,(E32-D32)*24-'1.설정(통합)'!$B$14-8,0)),"")</f>
        <v>2.5000000000000089</v>
      </c>
      <c r="H32" s="27" t="str">
        <f>IFERROR(IF(OR(D32="",E32="",$C32="평일"),"",MIN(8,MAX(0,(E32-D32)*24-'1.설정(통합)'!$B$14))),"")</f>
        <v/>
      </c>
      <c r="I32" s="27" t="str">
        <f>IFERROR(IF(OR(D32="",E32="",$C32="평일"),"",IF((E32-D32)*24-'1.설정(통합)'!$B$14&gt;8,(E32-D32)*24-'1.설정(통합)'!$B$14-8,0)),"")</f>
        <v/>
      </c>
      <c r="J32" s="27">
        <f t="shared" si="1"/>
        <v>0</v>
      </c>
      <c r="K32" s="28">
        <v>0.33333333333333298</v>
      </c>
      <c r="L32" s="28">
        <v>0.70833333333333304</v>
      </c>
      <c r="M32" s="27">
        <f>IFERROR(IF(OR(K32="",L32=""),"",IF($C32="평일",MIN(8,MAX(0,(L32-K32)*24-'1.설정(통합)'!$C$14)),0)),"")</f>
        <v>8</v>
      </c>
      <c r="N32" s="27">
        <f>IFERROR(IF(OR(K32="",L32="",$C32="휴일"),"",IF((L32-K32)*24-'1.설정(통합)'!$C$14&gt;8,(L32-K32)*24-'1.설정(통합)'!$C$14-8,0)),"")</f>
        <v>0</v>
      </c>
      <c r="O32" s="27" t="str">
        <f>IFERROR(IF(OR(K32="",L32="",$C32="평일"),"",MIN(8,MAX(0,(L32-K32)*24-'1.설정(통합)'!$C$14))),"")</f>
        <v/>
      </c>
      <c r="P32" s="27" t="str">
        <f>IFERROR(IF(OR(K32="",L32="",$C32="평일"),"",IF((L32-K32)*24-'1.설정(통합)'!$C$14&gt;8,(L32-K32)*24-'1.설정(통합)'!$C$14-8,0)),"")</f>
        <v/>
      </c>
      <c r="Q32" s="27">
        <f t="shared" si="2"/>
        <v>0</v>
      </c>
      <c r="R32" s="28">
        <v>0.33333333333333298</v>
      </c>
      <c r="S32" s="28">
        <v>0.70833333333333304</v>
      </c>
      <c r="T32" s="27">
        <f>IFERROR(IF(OR(R32="",S32=""),"",IF($C32="평일",MIN(8,MAX(0,(S32-R32)*24-'1.설정(통합)'!$D$14)),0)),"")</f>
        <v>8</v>
      </c>
      <c r="U32" s="27">
        <f>IFERROR(IF(OR(R32="",S32="",$C32="휴일"),"",IF((S32-R32)*24-'1.설정(통합)'!$D$14&gt;8,(S32-R32)*24-'1.설정(통합)'!$D$14-8,0)),"")</f>
        <v>0</v>
      </c>
      <c r="V32" s="27" t="str">
        <f>IFERROR(IF(OR(R32="",S32="",$C32="평일"),"",MIN(8,MAX(0,(S32-R32)*24-'1.설정(통합)'!$D$14))),"")</f>
        <v/>
      </c>
      <c r="W32" s="27" t="str">
        <f>IFERROR(IF(OR(R32="",S32="",$C32="평일"),"",IF((S32-R32)*24-'1.설정(통합)'!$D$14&gt;8,(S32-R32)*24-'1.설정(통합)'!$D$14-8,0)),"")</f>
        <v/>
      </c>
      <c r="X32" s="27">
        <f t="shared" si="3"/>
        <v>0</v>
      </c>
      <c r="Y32" s="28">
        <v>0.33333333333333298</v>
      </c>
      <c r="Z32" s="28">
        <v>0.8125</v>
      </c>
      <c r="AA32" s="27">
        <f>IFERROR(IF(OR(Y32="",Z32=""),"",IF($C32="평일",MIN(8,MAX(0,(Z32-Y32)*24-'1.설정(통합)'!$E$14)),0)),"")</f>
        <v>8</v>
      </c>
      <c r="AB32" s="27">
        <f>IFERROR(IF(OR(Y32="",Z32="",$C32="휴일"),"",IF((Z32-Y32)*24-'1.설정(통합)'!$E$14&gt;8,(Z32-Y32)*24-'1.설정(통합)'!$E$14-8,0)),"")</f>
        <v>2.5000000000000089</v>
      </c>
      <c r="AC32" s="27" t="str">
        <f>IFERROR(IF(OR(Y32="",Z32="",$C32="평일"),"",MIN(8,MAX(0,(Z32-Y32)*24-'1.설정(통합)'!$E$14))),"")</f>
        <v/>
      </c>
      <c r="AD32" s="27" t="str">
        <f>IFERROR(IF(OR(Y32="",Z32="",$C32="평일"),"",IF((Z32-Y32)*24-'1.설정(통합)'!$E$14&gt;8,(Z32-Y32)*24-'1.설정(통합)'!$E$14-8,0)),"")</f>
        <v/>
      </c>
      <c r="AE32" s="27">
        <f t="shared" si="4"/>
        <v>0</v>
      </c>
      <c r="AF32" s="28">
        <v>0.33333333333333298</v>
      </c>
      <c r="AG32" s="28">
        <v>0.70833333333333304</v>
      </c>
      <c r="AH32" s="27">
        <f>IFERROR(IF(OR(AF32="",AG32=""),"",IF($C32="평일",MIN(8,MAX(0,(AG32-AF32)*24-'1.설정(통합)'!$F$14)),0)),"")</f>
        <v>8</v>
      </c>
      <c r="AI32" s="27">
        <f>IFERROR(IF(OR(AF32="",AG32="",$C32="휴일"),"",IF((AG32-AF32)*24-'1.설정(통합)'!$F$14&gt;8,(AG32-AF32)*24-'1.설정(통합)'!$F$14-8,0)),"")</f>
        <v>0</v>
      </c>
      <c r="AJ32" s="27" t="str">
        <f>IFERROR(IF(OR(AF32="",AG32="",$C32="평일"),"",MIN(8,MAX(0,(AG32-AF32)*24-'1.설정(통합)'!$F$14))),"")</f>
        <v/>
      </c>
      <c r="AK32" s="27" t="str">
        <f>IFERROR(IF(OR(AF32="",AG32="",$C32="평일"),"",IF((AG32-AF32)*24-'1.설정(통합)'!$F$14&gt;8,(AG32-AF32)*24-'1.설정(통합)'!$F$14-8,0)),"")</f>
        <v/>
      </c>
      <c r="AL32" s="27">
        <f t="shared" si="5"/>
        <v>0</v>
      </c>
    </row>
    <row r="33" spans="1:38" ht="15.75" customHeight="1">
      <c r="A33" s="26">
        <f>IFERROR(IF(DAY(DATE(2000+$F$1,$H$1+1,0))&lt;30,"",DATE(2000+$F$1,$H$1,30)),"")</f>
        <v>46142</v>
      </c>
      <c r="B33" s="27" t="str">
        <f t="shared" si="0"/>
        <v>목</v>
      </c>
      <c r="C33" s="27" t="str">
        <f>IF(A33="","",IF(OR(WEEKDAY(A33,2)&gt;5,COUNTIF('2.공휴일리스트'!$A$2:$A$1000,A33)&gt;0),"휴일","평일"))</f>
        <v>평일</v>
      </c>
      <c r="D33" s="28">
        <v>0.33333333333333298</v>
      </c>
      <c r="E33" s="28">
        <v>0.70833333333333304</v>
      </c>
      <c r="F33" s="27">
        <f>IFERROR(IF(OR(D33="",E33=""),"",IF($C33="평일",MIN(8,MAX(0,(E33-D33)*24-'1.설정(통합)'!$B$14)),0)),"")</f>
        <v>8</v>
      </c>
      <c r="G33" s="27">
        <f>IFERROR(IF(OR(D33="",E33="",$C33="휴일"),"",IF((E33-D33)*24-'1.설정(통합)'!$B$14&gt;8,(E33-D33)*24-'1.설정(통합)'!$B$14-8,0)),"")</f>
        <v>0</v>
      </c>
      <c r="H33" s="27" t="str">
        <f>IFERROR(IF(OR(D33="",E33="",$C33="평일"),"",MIN(8,MAX(0,(E33-D33)*24-'1.설정(통합)'!$B$14))),"")</f>
        <v/>
      </c>
      <c r="I33" s="27" t="str">
        <f>IFERROR(IF(OR(D33="",E33="",$C33="평일"),"",IF((E33-D33)*24-'1.설정(통합)'!$B$14&gt;8,(E33-D33)*24-'1.설정(통합)'!$B$14-8,0)),"")</f>
        <v/>
      </c>
      <c r="J33" s="27">
        <f t="shared" si="1"/>
        <v>0</v>
      </c>
      <c r="K33" s="28">
        <v>0.33333333333333298</v>
      </c>
      <c r="L33" s="28">
        <v>0.70833333333333304</v>
      </c>
      <c r="M33" s="27">
        <f>IFERROR(IF(OR(K33="",L33=""),"",IF($C33="평일",MIN(8,MAX(0,(L33-K33)*24-'1.설정(통합)'!$C$14)),0)),"")</f>
        <v>8</v>
      </c>
      <c r="N33" s="27">
        <f>IFERROR(IF(OR(K33="",L33="",$C33="휴일"),"",IF((L33-K33)*24-'1.설정(통합)'!$C$14&gt;8,(L33-K33)*24-'1.설정(통합)'!$C$14-8,0)),"")</f>
        <v>0</v>
      </c>
      <c r="O33" s="27" t="str">
        <f>IFERROR(IF(OR(K33="",L33="",$C33="평일"),"",MIN(8,MAX(0,(L33-K33)*24-'1.설정(통합)'!$C$14))),"")</f>
        <v/>
      </c>
      <c r="P33" s="27" t="str">
        <f>IFERROR(IF(OR(K33="",L33="",$C33="평일"),"",IF((L33-K33)*24-'1.설정(통합)'!$C$14&gt;8,(L33-K33)*24-'1.설정(통합)'!$C$14-8,0)),"")</f>
        <v/>
      </c>
      <c r="Q33" s="27">
        <f t="shared" si="2"/>
        <v>0</v>
      </c>
      <c r="R33" s="28">
        <v>0.33333333333333298</v>
      </c>
      <c r="S33" s="28">
        <v>0.70833333333333304</v>
      </c>
      <c r="T33" s="27">
        <f>IFERROR(IF(OR(R33="",S33=""),"",IF($C33="평일",MIN(8,MAX(0,(S33-R33)*24-'1.설정(통합)'!$D$14)),0)),"")</f>
        <v>8</v>
      </c>
      <c r="U33" s="27">
        <f>IFERROR(IF(OR(R33="",S33="",$C33="휴일"),"",IF((S33-R33)*24-'1.설정(통합)'!$D$14&gt;8,(S33-R33)*24-'1.설정(통합)'!$D$14-8,0)),"")</f>
        <v>0</v>
      </c>
      <c r="V33" s="27" t="str">
        <f>IFERROR(IF(OR(R33="",S33="",$C33="평일"),"",MIN(8,MAX(0,(S33-R33)*24-'1.설정(통합)'!$D$14))),"")</f>
        <v/>
      </c>
      <c r="W33" s="27" t="str">
        <f>IFERROR(IF(OR(R33="",S33="",$C33="평일"),"",IF((S33-R33)*24-'1.설정(통합)'!$D$14&gt;8,(S33-R33)*24-'1.설정(통합)'!$D$14-8,0)),"")</f>
        <v/>
      </c>
      <c r="X33" s="27">
        <f t="shared" si="3"/>
        <v>0</v>
      </c>
      <c r="Y33" s="28">
        <v>0.33333333333333298</v>
      </c>
      <c r="Z33" s="28">
        <v>0.70833333333333304</v>
      </c>
      <c r="AA33" s="27">
        <f>IFERROR(IF(OR(Y33="",Z33=""),"",IF($C33="평일",MIN(8,MAX(0,(Z33-Y33)*24-'1.설정(통합)'!$E$14)),0)),"")</f>
        <v>8</v>
      </c>
      <c r="AB33" s="27">
        <f>IFERROR(IF(OR(Y33="",Z33="",$C33="휴일"),"",IF((Z33-Y33)*24-'1.설정(통합)'!$E$14&gt;8,(Z33-Y33)*24-'1.설정(통합)'!$E$14-8,0)),"")</f>
        <v>0</v>
      </c>
      <c r="AC33" s="27" t="str">
        <f>IFERROR(IF(OR(Y33="",Z33="",$C33="평일"),"",MIN(8,MAX(0,(Z33-Y33)*24-'1.설정(통합)'!$E$14))),"")</f>
        <v/>
      </c>
      <c r="AD33" s="27" t="str">
        <f>IFERROR(IF(OR(Y33="",Z33="",$C33="평일"),"",IF((Z33-Y33)*24-'1.설정(통합)'!$E$14&gt;8,(Z33-Y33)*24-'1.설정(통합)'!$E$14-8,0)),"")</f>
        <v/>
      </c>
      <c r="AE33" s="27">
        <f t="shared" si="4"/>
        <v>0</v>
      </c>
      <c r="AF33" s="28">
        <v>0.33333333333333298</v>
      </c>
      <c r="AG33" s="28">
        <v>0.70833333333333304</v>
      </c>
      <c r="AH33" s="27">
        <f>IFERROR(IF(OR(AF33="",AG33=""),"",IF($C33="평일",MIN(8,MAX(0,(AG33-AF33)*24-'1.설정(통합)'!$F$14)),0)),"")</f>
        <v>8</v>
      </c>
      <c r="AI33" s="27">
        <f>IFERROR(IF(OR(AF33="",AG33="",$C33="휴일"),"",IF((AG33-AF33)*24-'1.설정(통합)'!$F$14&gt;8,(AG33-AF33)*24-'1.설정(통합)'!$F$14-8,0)),"")</f>
        <v>0</v>
      </c>
      <c r="AJ33" s="27" t="str">
        <f>IFERROR(IF(OR(AF33="",AG33="",$C33="평일"),"",MIN(8,MAX(0,(AG33-AF33)*24-'1.설정(통합)'!$F$14))),"")</f>
        <v/>
      </c>
      <c r="AK33" s="27" t="str">
        <f>IFERROR(IF(OR(AF33="",AG33="",$C33="평일"),"",IF((AG33-AF33)*24-'1.설정(통합)'!$F$14&gt;8,(AG33-AF33)*24-'1.설정(통합)'!$F$14-8,0)),"")</f>
        <v/>
      </c>
      <c r="AL33" s="27">
        <f t="shared" si="5"/>
        <v>0</v>
      </c>
    </row>
    <row r="34" spans="1:38" ht="15.75" customHeight="1">
      <c r="A34" s="26" t="str">
        <f>IFERROR(IF(DAY(DATE(2000+$F$1,$H$1+1,0))&lt;31,"",DATE(2000+$F$1,$H$1,31)),"")</f>
        <v/>
      </c>
      <c r="B34" s="27" t="str">
        <f t="shared" si="0"/>
        <v/>
      </c>
      <c r="C34" s="27" t="str">
        <f>IF(A34="","",IF(OR(WEEKDAY(A34,2)&gt;5,COUNTIF('2.공휴일리스트'!$A$2:$A$1000,A34)&gt;0),"휴일","평일"))</f>
        <v/>
      </c>
      <c r="D34" s="28"/>
      <c r="E34" s="28"/>
      <c r="F34" s="27" t="str">
        <f>IFERROR(IF(OR(D34="",E34=""),"",IF($C34="평일",MIN(8,MAX(0,(E34-D34)*24-'1.설정(통합)'!$B$14)),0)),"")</f>
        <v/>
      </c>
      <c r="G34" s="27" t="str">
        <f>IFERROR(IF(OR(D34="",E34="",$C34="휴일"),"",IF((E34-D34)*24-'1.설정(통합)'!$B$14&gt;8,(E34-D34)*24-'1.설정(통합)'!$B$14-8,0)),"")</f>
        <v/>
      </c>
      <c r="H34" s="27" t="str">
        <f>IFERROR(IF(OR(D34="",E34="",$C34="평일"),"",MIN(8,MAX(0,(E34-D34)*24-'1.설정(통합)'!$B$14))),"")</f>
        <v/>
      </c>
      <c r="I34" s="27" t="str">
        <f>IFERROR(IF(OR(D34="",E34="",$C34="평일"),"",IF((E34-D34)*24-'1.설정(통합)'!$B$14&gt;8,(E34-D34)*24-'1.설정(통합)'!$B$14-8,0)),"")</f>
        <v/>
      </c>
      <c r="J34" s="27" t="str">
        <f t="shared" si="1"/>
        <v/>
      </c>
      <c r="K34" s="28"/>
      <c r="L34" s="28"/>
      <c r="M34" s="27" t="str">
        <f>IFERROR(IF(OR(K34="",L34=""),"",IF($C34="평일",MIN(8,MAX(0,(L34-K34)*24-'1.설정(통합)'!$C$14)),0)),"")</f>
        <v/>
      </c>
      <c r="N34" s="27" t="str">
        <f>IFERROR(IF(OR(K34="",L34="",$C34="휴일"),"",IF((L34-K34)*24-'1.설정(통합)'!$C$14&gt;8,(L34-K34)*24-'1.설정(통합)'!$C$14-8,0)),"")</f>
        <v/>
      </c>
      <c r="O34" s="27" t="str">
        <f>IFERROR(IF(OR(K34="",L34="",$C34="평일"),"",MIN(8,MAX(0,(L34-K34)*24-'1.설정(통합)'!$C$14))),"")</f>
        <v/>
      </c>
      <c r="P34" s="27" t="str">
        <f>IFERROR(IF(OR(K34="",L34="",$C34="평일"),"",IF((L34-K34)*24-'1.설정(통합)'!$C$14&gt;8,(L34-K34)*24-'1.설정(통합)'!$C$14-8,0)),"")</f>
        <v/>
      </c>
      <c r="Q34" s="27" t="str">
        <f t="shared" si="2"/>
        <v/>
      </c>
      <c r="R34" s="28"/>
      <c r="S34" s="28"/>
      <c r="T34" s="27" t="str">
        <f>IFERROR(IF(OR(R34="",S34=""),"",IF($C34="평일",MIN(8,MAX(0,(S34-R34)*24-'1.설정(통합)'!$D$14)),0)),"")</f>
        <v/>
      </c>
      <c r="U34" s="27" t="str">
        <f>IFERROR(IF(OR(R34="",S34="",$C34="휴일"),"",IF((S34-R34)*24-'1.설정(통합)'!$D$14&gt;8,(S34-R34)*24-'1.설정(통합)'!$D$14-8,0)),"")</f>
        <v/>
      </c>
      <c r="V34" s="27" t="str">
        <f>IFERROR(IF(OR(R34="",S34="",$C34="평일"),"",MIN(8,MAX(0,(S34-R34)*24-'1.설정(통합)'!$D$14))),"")</f>
        <v/>
      </c>
      <c r="W34" s="27" t="str">
        <f>IFERROR(IF(OR(R34="",S34="",$C34="평일"),"",IF((S34-R34)*24-'1.설정(통합)'!$D$14&gt;8,(S34-R34)*24-'1.설정(통합)'!$D$14-8,0)),"")</f>
        <v/>
      </c>
      <c r="X34" s="27" t="str">
        <f t="shared" si="3"/>
        <v/>
      </c>
      <c r="Y34" s="28"/>
      <c r="Z34" s="28"/>
      <c r="AA34" s="27" t="str">
        <f>IFERROR(IF(OR(Y34="",Z34=""),"",IF($C34="평일",MIN(8,MAX(0,(Z34-Y34)*24-'1.설정(통합)'!$E$14)),0)),"")</f>
        <v/>
      </c>
      <c r="AB34" s="27" t="str">
        <f>IFERROR(IF(OR(Y34="",Z34="",$C34="휴일"),"",IF((Z34-Y34)*24-'1.설정(통합)'!$E$14&gt;8,(Z34-Y34)*24-'1.설정(통합)'!$E$14-8,0)),"")</f>
        <v/>
      </c>
      <c r="AC34" s="27" t="str">
        <f>IFERROR(IF(OR(Y34="",Z34="",$C34="평일"),"",MIN(8,MAX(0,(Z34-Y34)*24-'1.설정(통합)'!$E$14))),"")</f>
        <v/>
      </c>
      <c r="AD34" s="27" t="str">
        <f>IFERROR(IF(OR(Y34="",Z34="",$C34="평일"),"",IF((Z34-Y34)*24-'1.설정(통합)'!$E$14&gt;8,(Z34-Y34)*24-'1.설정(통합)'!$E$14-8,0)),"")</f>
        <v/>
      </c>
      <c r="AE34" s="27" t="str">
        <f t="shared" si="4"/>
        <v/>
      </c>
      <c r="AF34" s="28"/>
      <c r="AG34" s="28"/>
      <c r="AH34" s="27" t="str">
        <f>IFERROR(IF(OR(AF34="",AG34=""),"",IF($C34="평일",MIN(8,MAX(0,(AG34-AF34)*24-'1.설정(통합)'!$F$14)),0)),"")</f>
        <v/>
      </c>
      <c r="AI34" s="27" t="str">
        <f>IFERROR(IF(OR(AF34="",AG34="",$C34="휴일"),"",IF((AG34-AF34)*24-'1.설정(통합)'!$F$14&gt;8,(AG34-AF34)*24-'1.설정(통합)'!$F$14-8,0)),"")</f>
        <v/>
      </c>
      <c r="AJ34" s="27" t="str">
        <f>IFERROR(IF(OR(AF34="",AG34="",$C34="평일"),"",MIN(8,MAX(0,(AG34-AF34)*24-'1.설정(통합)'!$F$14))),"")</f>
        <v/>
      </c>
      <c r="AK34" s="27" t="str">
        <f>IFERROR(IF(OR(AF34="",AG34="",$C34="평일"),"",IF((AG34-AF34)*24-'1.설정(통합)'!$F$14&gt;8,(AG34-AF34)*24-'1.설정(통합)'!$F$14-8,0)),"")</f>
        <v/>
      </c>
      <c r="AL34" s="27" t="str">
        <f t="shared" si="5"/>
        <v/>
      </c>
    </row>
    <row r="35" spans="1:38" ht="19.5" customHeight="1">
      <c r="A35" s="10" t="s">
        <v>56</v>
      </c>
      <c r="B35" s="10"/>
      <c r="C35" s="10"/>
      <c r="D35" s="17"/>
      <c r="E35" s="17"/>
      <c r="F35" s="29">
        <f>SUM(F4:F34)</f>
        <v>96</v>
      </c>
      <c r="G35" s="29">
        <f>SUM(G4:G34)</f>
        <v>15.000000000000053</v>
      </c>
      <c r="H35" s="29">
        <f>SUM(H4:H34)</f>
        <v>28.000000000000021</v>
      </c>
      <c r="I35" s="29">
        <f>SUM(I4:I34)</f>
        <v>4.0000000000000071</v>
      </c>
      <c r="J35" s="29">
        <f>SUM(J4:J34)</f>
        <v>1.0000000000000078</v>
      </c>
      <c r="K35" s="17"/>
      <c r="L35" s="17"/>
      <c r="M35" s="29">
        <f>SUM(M4:M34)</f>
        <v>152</v>
      </c>
      <c r="N35" s="29">
        <f>SUM(N4:N34)</f>
        <v>10.000000000000036</v>
      </c>
      <c r="O35" s="29">
        <f>SUM(O4:O34)</f>
        <v>40.50000000000005</v>
      </c>
      <c r="P35" s="29">
        <f>SUM(P4:P34)</f>
        <v>0</v>
      </c>
      <c r="Q35" s="29">
        <f>SUM(Q4:Q34)</f>
        <v>0</v>
      </c>
      <c r="R35" s="17"/>
      <c r="S35" s="17"/>
      <c r="T35" s="29">
        <f>SUM(T4:T34)</f>
        <v>120</v>
      </c>
      <c r="U35" s="29">
        <f>SUM(U4:U34)</f>
        <v>12.500000000000044</v>
      </c>
      <c r="V35" s="29">
        <f>SUM(V4:V34)</f>
        <v>34.00000000000005</v>
      </c>
      <c r="W35" s="29">
        <f>SUM(W4:W34)</f>
        <v>0</v>
      </c>
      <c r="X35" s="29">
        <f>SUM(X4:X34)</f>
        <v>0</v>
      </c>
      <c r="Y35" s="17"/>
      <c r="Z35" s="17"/>
      <c r="AA35" s="29">
        <f>SUM(AA4:AA34)</f>
        <v>144</v>
      </c>
      <c r="AB35" s="29">
        <f>SUM(AB4:AB34)</f>
        <v>27.500000000000092</v>
      </c>
      <c r="AC35" s="29">
        <f>SUM(AC4:AC34)</f>
        <v>41.500000000000036</v>
      </c>
      <c r="AD35" s="29">
        <f>SUM(AD4:AD34)</f>
        <v>1.0000000000000089</v>
      </c>
      <c r="AE35" s="29">
        <f>SUM(AE4:AE34)</f>
        <v>0</v>
      </c>
      <c r="AF35" s="17"/>
      <c r="AG35" s="17"/>
      <c r="AH35" s="29">
        <f>SUM(AH4:AH34)</f>
        <v>152</v>
      </c>
      <c r="AI35" s="29">
        <f>SUM(AI4:AI34)</f>
        <v>15.000000000000053</v>
      </c>
      <c r="AJ35" s="29">
        <f>SUM(AJ4:AJ34)</f>
        <v>40.50000000000005</v>
      </c>
      <c r="AK35" s="29">
        <f>SUM(AK4:AK34)</f>
        <v>0</v>
      </c>
      <c r="AL35" s="29">
        <f>SUM(AL4:AL34)</f>
        <v>0</v>
      </c>
    </row>
  </sheetData>
  <mergeCells count="8">
    <mergeCell ref="Y2:AE2"/>
    <mergeCell ref="AF2:AL2"/>
    <mergeCell ref="A35:C35"/>
    <mergeCell ref="A1:D1"/>
    <mergeCell ref="A2:C2"/>
    <mergeCell ref="D2:J2"/>
    <mergeCell ref="K2:Q2"/>
    <mergeCell ref="R2:X2"/>
  </mergeCells>
  <phoneticPr fontId="19" type="noConversion"/>
  <conditionalFormatting sqref="A4:AL34">
    <cfRule type="expression" dxfId="2" priority="3">
      <formula>AND($A4&lt;&gt;"",WEEKDAY($A4,2)=6)</formula>
    </cfRule>
    <cfRule type="expression" dxfId="1" priority="4">
      <formula>AND($A4&lt;&gt;"",WEEKDAY($A4,2)=7)</formula>
    </cfRule>
  </conditionalFormatting>
  <conditionalFormatting sqref="A35:AL35">
    <cfRule type="expression" dxfId="0" priority="5">
      <formula>1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AND($A4&lt;&gt;"",COUNTIF('2.공휴일리스트'!$A$2:$A$1000,$A4)&gt;0,WEEKDAY($A4,2)&lt;6)</xm:f>
            <x14:dxf>
              <fill>
                <patternFill>
                  <bgColor rgb="FFFFF0D0"/>
                </patternFill>
              </fill>
            </x14:dxf>
          </x14:cfRule>
          <xm:sqref>A4:AL34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22"/>
  <sheetViews>
    <sheetView zoomScaleNormal="100" workbookViewId="0"/>
  </sheetViews>
  <sheetFormatPr defaultColWidth="8.7109375" defaultRowHeight="15"/>
  <cols>
    <col min="1" max="1" width="3" customWidth="1"/>
    <col min="2" max="19" width="8" customWidth="1"/>
  </cols>
  <sheetData>
    <row r="1" spans="2:19" ht="9.75" customHeight="1"/>
    <row r="2" spans="2:19" ht="27.75" customHeight="1">
      <c r="B2" s="30" t="s">
        <v>57</v>
      </c>
      <c r="C2" s="9"/>
      <c r="D2" s="9"/>
      <c r="E2" s="9"/>
      <c r="F2" s="31" t="s">
        <v>58</v>
      </c>
    </row>
    <row r="4" spans="2:19" ht="25.5" customHeight="1">
      <c r="B4" s="8" t="s">
        <v>59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2:19" ht="19.5" customHeight="1">
      <c r="B5" s="32" t="s">
        <v>60</v>
      </c>
      <c r="C5" s="7" t="str">
        <f>IFERROR(INDEX('1.설정(통합)'!$B$4:$F$4,MATCH($C$2,'1.설정(통합)'!$B$1:$F$1,0)),"")</f>
        <v/>
      </c>
      <c r="D5" s="7"/>
      <c r="E5" s="7"/>
      <c r="F5" s="7"/>
      <c r="G5" s="32" t="s">
        <v>61</v>
      </c>
      <c r="H5" s="7" t="str">
        <f>IFERROR(INDEX('1.설정(통합)'!$B$6:$F$6,MATCH($C$2,'1.설정(통합)'!$B$1:$F$1,0)),"")</f>
        <v/>
      </c>
      <c r="I5" s="7"/>
      <c r="J5" s="7"/>
      <c r="K5" s="7"/>
      <c r="L5" s="32" t="s">
        <v>62</v>
      </c>
      <c r="M5" s="6" t="str">
        <f>IFERROR(INDEX('1.설정(통합)'!$B$3:$F$3,MATCH($C$2,'1.설정(통합)'!$B$1:$F$1,0)),"")</f>
        <v/>
      </c>
      <c r="N5" s="6"/>
      <c r="O5" s="6"/>
      <c r="P5" s="6"/>
      <c r="Q5" s="6"/>
      <c r="R5" s="6"/>
      <c r="S5" s="6"/>
    </row>
    <row r="6" spans="2:19" ht="19.5" customHeight="1">
      <c r="B6" s="32" t="s">
        <v>63</v>
      </c>
      <c r="C6" s="7" t="str">
        <f>IFERROR(INDEX('1.설정(통합)'!$B$5:$F$5,MATCH($C$2,'1.설정(통합)'!$B$1:$F$1,0)),"")</f>
        <v/>
      </c>
      <c r="D6" s="7"/>
      <c r="E6" s="7"/>
      <c r="F6" s="7"/>
      <c r="G6" s="32" t="s">
        <v>64</v>
      </c>
      <c r="H6" s="7" t="str">
        <f>IFERROR(INDEX('1.설정(통합)'!$B$7:$F$7,MATCH($C$2,'1.설정(통합)'!$B$1:$F$1,0)),"")</f>
        <v/>
      </c>
      <c r="I6" s="7"/>
      <c r="J6" s="7"/>
      <c r="K6" s="7"/>
      <c r="L6" s="32" t="s">
        <v>65</v>
      </c>
      <c r="M6" s="7"/>
      <c r="N6" s="7"/>
      <c r="O6" s="7"/>
      <c r="P6" s="7"/>
      <c r="Q6" s="7"/>
      <c r="R6" s="7"/>
      <c r="S6" s="7"/>
    </row>
    <row r="7" spans="2:19" ht="19.5" customHeight="1">
      <c r="B7" s="5" t="s">
        <v>66</v>
      </c>
      <c r="C7" s="5"/>
      <c r="D7" s="5"/>
      <c r="E7" s="5"/>
      <c r="F7" s="5"/>
      <c r="G7" s="5"/>
      <c r="H7" s="5"/>
      <c r="I7" s="5"/>
      <c r="J7" s="5"/>
      <c r="K7" s="5"/>
      <c r="L7" s="5" t="s">
        <v>67</v>
      </c>
      <c r="M7" s="5"/>
      <c r="N7" s="5"/>
      <c r="O7" s="5"/>
      <c r="P7" s="5"/>
      <c r="Q7" s="5"/>
      <c r="R7" s="5"/>
      <c r="S7" s="5"/>
    </row>
    <row r="8" spans="2:19" ht="18" customHeight="1">
      <c r="B8" s="4" t="s">
        <v>68</v>
      </c>
      <c r="C8" s="4"/>
      <c r="D8" s="4"/>
      <c r="E8" s="4"/>
      <c r="F8" s="4"/>
      <c r="G8" s="4"/>
      <c r="H8" s="4" t="s">
        <v>69</v>
      </c>
      <c r="I8" s="4"/>
      <c r="J8" s="4"/>
      <c r="K8" s="4"/>
      <c r="L8" s="4" t="s">
        <v>68</v>
      </c>
      <c r="M8" s="4"/>
      <c r="N8" s="4"/>
      <c r="O8" s="4"/>
      <c r="P8" s="4"/>
      <c r="Q8" s="4"/>
      <c r="R8" s="4" t="s">
        <v>69</v>
      </c>
      <c r="S8" s="4"/>
    </row>
    <row r="9" spans="2:19" ht="18" customHeight="1">
      <c r="B9" s="3" t="s">
        <v>70</v>
      </c>
      <c r="C9" s="3"/>
      <c r="D9" s="3"/>
      <c r="E9" s="3"/>
      <c r="F9" s="3"/>
      <c r="G9" s="3"/>
      <c r="H9" s="2">
        <f>IFERROR(SUMIF('3.출퇴근기록부(통합)'!$A:$A,$C$2,'3.출퇴근기록부(통합)'!$G:$G)*INDEX('1.설정(통합)'!$B$10:$F$10,MATCH($C$2,'1.설정(통합)'!$B$1:$F$1,0)),0)</f>
        <v>0</v>
      </c>
      <c r="I9" s="2"/>
      <c r="J9" s="2"/>
      <c r="K9" s="2"/>
      <c r="L9" s="3" t="s">
        <v>71</v>
      </c>
      <c r="M9" s="3"/>
      <c r="N9" s="3"/>
      <c r="O9" s="3"/>
      <c r="P9" s="3"/>
      <c r="Q9" s="3"/>
      <c r="R9" s="2">
        <f>IFERROR(ROUNDDOWN((H9+H10+H11+H12+H13+H14)*0.045,-1),0)</f>
        <v>0</v>
      </c>
      <c r="S9" s="2"/>
    </row>
    <row r="10" spans="2:19" ht="18" customHeight="1">
      <c r="B10" s="3" t="s">
        <v>72</v>
      </c>
      <c r="C10" s="3"/>
      <c r="D10" s="3"/>
      <c r="E10" s="3"/>
      <c r="F10" s="3"/>
      <c r="G10" s="3"/>
      <c r="H10" s="2">
        <f>IFERROR(SUMIF('3.출퇴근기록부(통합)'!$A:$A,$C$2,'3.출퇴근기록부(통합)'!$H:$H)*INDEX('1.설정(통합)'!$B$10:$F$10,MATCH($C$2,'1.설정(통합)'!$B$1:$F$1,0))*INDEX('1.설정(통합)'!$B$11:$F$11,MATCH($C$2,'1.설정(통합)'!$B$1:$F$1,0)),0)</f>
        <v>0</v>
      </c>
      <c r="I10" s="2"/>
      <c r="J10" s="2"/>
      <c r="K10" s="2"/>
      <c r="L10" s="3" t="s">
        <v>73</v>
      </c>
      <c r="M10" s="3"/>
      <c r="N10" s="3"/>
      <c r="O10" s="3"/>
      <c r="P10" s="3"/>
      <c r="Q10" s="3"/>
      <c r="R10" s="2">
        <f>IFERROR(ROUNDDOWN((H9+H10+H11+H12+H13+H14)*0.03545,-1),0)</f>
        <v>0</v>
      </c>
      <c r="S10" s="2"/>
    </row>
    <row r="11" spans="2:19" ht="18" customHeight="1">
      <c r="B11" s="3" t="s">
        <v>74</v>
      </c>
      <c r="C11" s="3"/>
      <c r="D11" s="3"/>
      <c r="E11" s="3"/>
      <c r="F11" s="3"/>
      <c r="G11" s="3"/>
      <c r="H11" s="2">
        <f>IFERROR(SUMIF('3.출퇴근기록부(통합)'!$A:$A,$C$2,'3.출퇴근기록부(통합)'!$I:$I)*INDEX('1.설정(통합)'!$B$10:$F$10,MATCH($C$2,'1.설정(통합)'!$B$1:$F$1,0))*INDEX('1.설정(통합)'!$B$11:$F$11,MATCH($C$2,'1.설정(통합)'!$B$1:$F$1,0)),0)</f>
        <v>0</v>
      </c>
      <c r="I11" s="2"/>
      <c r="J11" s="2"/>
      <c r="K11" s="2"/>
      <c r="L11" s="3" t="s">
        <v>75</v>
      </c>
      <c r="M11" s="3"/>
      <c r="N11" s="3"/>
      <c r="O11" s="3"/>
      <c r="P11" s="3"/>
      <c r="Q11" s="3"/>
      <c r="R11" s="2">
        <f>IFERROR(ROUNDDOWN(R10*0.1295,-1),0)</f>
        <v>0</v>
      </c>
      <c r="S11" s="2"/>
    </row>
    <row r="12" spans="2:19" ht="18" customHeight="1">
      <c r="B12" s="3" t="s">
        <v>76</v>
      </c>
      <c r="C12" s="3"/>
      <c r="D12" s="3"/>
      <c r="E12" s="3"/>
      <c r="F12" s="3"/>
      <c r="G12" s="3"/>
      <c r="H12" s="2">
        <f>IFERROR(SUMIF('3.출퇴근기록부(통합)'!$A:$A,$C$2,'3.출퇴근기록부(통합)'!$J:$J)*INDEX('1.설정(통합)'!$B$10:$F$10,MATCH($C$2,'1.설정(통합)'!$B$1:$F$1,0))*INDEX('1.설정(통합)'!$B$12:$F$12,MATCH($C$2,'1.설정(통합)'!$B$1:$F$1,0)),0)</f>
        <v>0</v>
      </c>
      <c r="I12" s="2"/>
      <c r="J12" s="2"/>
      <c r="K12" s="2"/>
      <c r="L12" s="3" t="s">
        <v>77</v>
      </c>
      <c r="M12" s="3"/>
      <c r="N12" s="3"/>
      <c r="O12" s="3"/>
      <c r="P12" s="3"/>
      <c r="Q12" s="3"/>
      <c r="R12" s="2">
        <f>IFERROR(ROUNDDOWN((H9+H10+H11+H12+H13+H14)*0.009,-1),0)</f>
        <v>0</v>
      </c>
      <c r="S12" s="2"/>
    </row>
    <row r="13" spans="2:19" ht="18" customHeight="1">
      <c r="B13" s="3" t="s">
        <v>78</v>
      </c>
      <c r="C13" s="3"/>
      <c r="D13" s="3"/>
      <c r="E13" s="3"/>
      <c r="F13" s="3"/>
      <c r="G13" s="3"/>
      <c r="H13" s="2">
        <f>IFERROR(SUMIF('3.출퇴근기록부(통합)'!$A:$A,$C$2,'3.출퇴근기록부(통합)'!$K:$K)*INDEX('1.설정(통합)'!$B$10:$F$10,MATCH($C$2,'1.설정(통합)'!$B$1:$F$1,0))*INDEX('1.설정(통합)'!$B$13:$F$13,MATCH($C$2,'1.설정(통합)'!$B$1:$F$1,0)),0)</f>
        <v>0</v>
      </c>
      <c r="I13" s="2"/>
      <c r="J13" s="2"/>
      <c r="K13" s="2"/>
      <c r="L13" s="3" t="s">
        <v>79</v>
      </c>
      <c r="M13" s="3"/>
      <c r="N13" s="3"/>
      <c r="O13" s="3"/>
      <c r="P13" s="3"/>
      <c r="Q13" s="3"/>
      <c r="R13" s="1"/>
      <c r="S13" s="1"/>
    </row>
    <row r="14" spans="2:19" ht="18" customHeight="1">
      <c r="B14" s="3" t="s">
        <v>28</v>
      </c>
      <c r="C14" s="3"/>
      <c r="D14" s="3"/>
      <c r="E14" s="3"/>
      <c r="F14" s="3"/>
      <c r="G14" s="3"/>
      <c r="H14" s="2" t="str">
        <f>IFERROR(INDEX('1.설정(통합)'!$B$16:$F$16,MATCH($C$2,'1.설정(통합)'!$B$1:$F$1,0)),"")</f>
        <v/>
      </c>
      <c r="I14" s="2"/>
      <c r="J14" s="2"/>
      <c r="K14" s="2"/>
      <c r="L14" s="3" t="s">
        <v>80</v>
      </c>
      <c r="M14" s="3"/>
      <c r="N14" s="3"/>
      <c r="O14" s="3"/>
      <c r="P14" s="3"/>
      <c r="Q14" s="3"/>
      <c r="R14" s="2" t="str">
        <f>IFERROR(IF(R13="","",ROUNDDOWN(R13*0.1,-1)),0)</f>
        <v/>
      </c>
      <c r="S14" s="2"/>
    </row>
    <row r="15" spans="2:19" ht="18" customHeight="1">
      <c r="B15" s="3" t="s">
        <v>81</v>
      </c>
      <c r="C15" s="3"/>
      <c r="D15" s="3"/>
      <c r="E15" s="3"/>
      <c r="F15" s="3"/>
      <c r="G15" s="3"/>
      <c r="H15" s="2" t="str">
        <f>IFERROR(INDEX('1.설정(통합)'!$B$17:$F$17,MATCH($C$2,'1.설정(통합)'!$B$1:$F$1,0)),"")</f>
        <v/>
      </c>
      <c r="I15" s="2"/>
      <c r="J15" s="2"/>
      <c r="K15" s="2"/>
      <c r="L15" s="3" t="s">
        <v>31</v>
      </c>
      <c r="M15" s="3"/>
      <c r="N15" s="3"/>
      <c r="O15" s="3"/>
      <c r="P15" s="3"/>
      <c r="Q15" s="3"/>
      <c r="R15" s="2" t="str">
        <f>IFERROR(INDEX('1.설정(통합)'!$B$19:$F$19,MATCH($C$2,'1.설정(통합)'!$B$1:$F$1,0)),"")</f>
        <v/>
      </c>
      <c r="S15" s="2"/>
    </row>
    <row r="16" spans="2:19" ht="18" customHeight="1">
      <c r="B16" s="3" t="s">
        <v>30</v>
      </c>
      <c r="C16" s="3"/>
      <c r="D16" s="3"/>
      <c r="E16" s="3"/>
      <c r="F16" s="3"/>
      <c r="G16" s="3"/>
      <c r="H16" s="2" t="str">
        <f>IFERROR(INDEX('1.설정(통합)'!$B$18:$F$18,MATCH($C$2,'1.설정(통합)'!$B$1:$F$1,0)),"")</f>
        <v/>
      </c>
      <c r="I16" s="2"/>
      <c r="J16" s="2"/>
      <c r="K16" s="2"/>
      <c r="L16" s="3" t="s">
        <v>82</v>
      </c>
      <c r="M16" s="3"/>
      <c r="N16" s="3"/>
      <c r="O16" s="3"/>
      <c r="P16" s="3"/>
      <c r="Q16" s="3"/>
      <c r="R16" s="2" t="str">
        <f>IFERROR(INDEX('1.설정(통합)'!$B$20:$F$20,MATCH($C$2,'1.설정(통합)'!$B$1:$F$1,0)),"")</f>
        <v/>
      </c>
      <c r="S16" s="2"/>
    </row>
    <row r="17" spans="2:19" ht="6" customHeight="1"/>
    <row r="18" spans="2:19" ht="21.75" customHeight="1">
      <c r="L18" s="4" t="s">
        <v>83</v>
      </c>
      <c r="M18" s="4"/>
      <c r="N18" s="4"/>
      <c r="O18" s="4"/>
      <c r="P18" s="4"/>
      <c r="Q18" s="4"/>
      <c r="R18" s="33">
        <f>IFERROR(SUM(R9:R16),0)</f>
        <v>0</v>
      </c>
      <c r="S18" s="33"/>
    </row>
    <row r="19" spans="2:19" ht="24" customHeight="1">
      <c r="B19" s="4" t="s">
        <v>84</v>
      </c>
      <c r="C19" s="4"/>
      <c r="D19" s="4"/>
      <c r="E19" s="4"/>
      <c r="F19" s="4"/>
      <c r="G19" s="4"/>
      <c r="H19" s="33">
        <f>IFERROR(SUM(H9:H16),0)</f>
        <v>0</v>
      </c>
      <c r="I19" s="33"/>
      <c r="J19" s="33"/>
      <c r="K19" s="33"/>
      <c r="L19" s="34" t="s">
        <v>85</v>
      </c>
      <c r="M19" s="34"/>
      <c r="N19" s="34"/>
      <c r="O19" s="34"/>
      <c r="P19" s="34"/>
      <c r="Q19" s="34"/>
      <c r="R19" s="35">
        <f>IFERROR(H19-R18,"")</f>
        <v>0</v>
      </c>
      <c r="S19" s="35"/>
    </row>
    <row r="20" spans="2:19" ht="18" customHeight="1">
      <c r="B20" s="32" t="s">
        <v>86</v>
      </c>
      <c r="C20" s="7" t="str">
        <f>IFERROR(INDEX('1.설정(통합)'!$B$8:$F$8,MATCH($C$2,'1.설정(통합)'!$B$1:$F$1,0)),"")</f>
        <v/>
      </c>
      <c r="D20" s="7"/>
      <c r="E20" s="7"/>
      <c r="F20" s="7"/>
      <c r="G20" s="7"/>
      <c r="H20" s="32" t="s">
        <v>87</v>
      </c>
      <c r="I20" s="7" t="str">
        <f>IFERROR(INDEX('1.설정(통합)'!$B$9:$F$9,MATCH($C$2,'1.설정(통합)'!$B$1:$F$1,0)),"")</f>
        <v/>
      </c>
      <c r="J20" s="7"/>
      <c r="K20" s="7"/>
    </row>
    <row r="21" spans="2:19" ht="18" customHeight="1">
      <c r="B21" s="36" t="s">
        <v>88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</row>
    <row r="22" spans="2:19" ht="21.75" customHeight="1">
      <c r="B22" s="37" t="s">
        <v>89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</row>
  </sheetData>
  <mergeCells count="56">
    <mergeCell ref="B21:S21"/>
    <mergeCell ref="B22:S22"/>
    <mergeCell ref="B19:G19"/>
    <mergeCell ref="H19:K19"/>
    <mergeCell ref="L19:Q19"/>
    <mergeCell ref="R19:S19"/>
    <mergeCell ref="C20:G20"/>
    <mergeCell ref="I20:K20"/>
    <mergeCell ref="B16:G16"/>
    <mergeCell ref="H16:K16"/>
    <mergeCell ref="L16:Q16"/>
    <mergeCell ref="R16:S16"/>
    <mergeCell ref="L18:Q18"/>
    <mergeCell ref="R18:S18"/>
    <mergeCell ref="B14:G14"/>
    <mergeCell ref="H14:K14"/>
    <mergeCell ref="L14:Q14"/>
    <mergeCell ref="R14:S14"/>
    <mergeCell ref="B15:G15"/>
    <mergeCell ref="H15:K15"/>
    <mergeCell ref="L15:Q15"/>
    <mergeCell ref="R15:S15"/>
    <mergeCell ref="B12:G12"/>
    <mergeCell ref="H12:K12"/>
    <mergeCell ref="L12:Q12"/>
    <mergeCell ref="R12:S12"/>
    <mergeCell ref="B13:G13"/>
    <mergeCell ref="H13:K13"/>
    <mergeCell ref="L13:Q13"/>
    <mergeCell ref="R13:S13"/>
    <mergeCell ref="B10:G10"/>
    <mergeCell ref="H10:K10"/>
    <mergeCell ref="L10:Q10"/>
    <mergeCell ref="R10:S10"/>
    <mergeCell ref="B11:G11"/>
    <mergeCell ref="H11:K11"/>
    <mergeCell ref="L11:Q11"/>
    <mergeCell ref="R11:S11"/>
    <mergeCell ref="B8:G8"/>
    <mergeCell ref="H8:K8"/>
    <mergeCell ref="L8:Q8"/>
    <mergeCell ref="R8:S8"/>
    <mergeCell ref="B9:G9"/>
    <mergeCell ref="H9:K9"/>
    <mergeCell ref="L9:Q9"/>
    <mergeCell ref="R9:S9"/>
    <mergeCell ref="C6:F6"/>
    <mergeCell ref="H6:K6"/>
    <mergeCell ref="M6:S6"/>
    <mergeCell ref="B7:K7"/>
    <mergeCell ref="L7:S7"/>
    <mergeCell ref="C2:E2"/>
    <mergeCell ref="B4:S4"/>
    <mergeCell ref="C5:F5"/>
    <mergeCell ref="H5:K5"/>
    <mergeCell ref="M5:S5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1.설정(통합)</vt:lpstr>
      <vt:lpstr>2.공휴일리스트</vt:lpstr>
      <vt:lpstr>3.출퇴근기록부(통합)</vt:lpstr>
      <vt:lpstr>4.급여명세서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2026-05-06T04:15:57Z</dcterms:created>
  <dcterms:modified xsi:type="dcterms:W3CDTF">2026-05-06T04:33:47Z</dcterms:modified>
  <dc:language>en-US</dc:language>
</cp:coreProperties>
</file>